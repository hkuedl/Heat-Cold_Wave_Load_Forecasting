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2"/>
  </bookViews>
  <sheets>
    <sheet name="欧洲" sheetId="1" r:id="rId1"/>
    <sheet name="广东" sheetId="2" r:id="rId2"/>
    <sheet name="印度" sheetId="3" r:id="rId3"/>
    <sheet name="德州" sheetId="4" r:id="rId4"/>
    <sheet name="PJM" sheetId="5" r:id="rId5"/>
    <sheet name="湖南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<sst xmlns="http://schemas.openxmlformats.org/spreadsheetml/2006/main" count="148" uniqueCount="90">
  <si>
    <t>Counrty</t>
  </si>
  <si>
    <t>MLP</t>
  </si>
  <si>
    <t>LSTM</t>
  </si>
  <si>
    <t>CNN</t>
  </si>
  <si>
    <t>MAE</t>
  </si>
  <si>
    <t>RMSE</t>
  </si>
  <si>
    <t>Belgium</t>
  </si>
  <si>
    <t>Croatia</t>
  </si>
  <si>
    <t>Denmark</t>
  </si>
  <si>
    <t>Finland</t>
  </si>
  <si>
    <t>France</t>
  </si>
  <si>
    <t>Germany</t>
  </si>
  <si>
    <t>Hungary</t>
  </si>
  <si>
    <t>Ireland</t>
  </si>
  <si>
    <t>Italy</t>
  </si>
  <si>
    <t>Lithuania</t>
  </si>
  <si>
    <t>Latvia</t>
  </si>
  <si>
    <t>Netherlands</t>
  </si>
  <si>
    <t>Norway</t>
  </si>
  <si>
    <t>Poland</t>
  </si>
  <si>
    <t>Romania</t>
  </si>
  <si>
    <t>Slovenia</t>
  </si>
  <si>
    <t>Sweden</t>
  </si>
  <si>
    <t>Switzerland</t>
  </si>
  <si>
    <t>Average</t>
  </si>
  <si>
    <t>Region</t>
  </si>
  <si>
    <t>Chaozhou</t>
  </si>
  <si>
    <t>Dongguan</t>
  </si>
  <si>
    <t>Foshan</t>
  </si>
  <si>
    <t>Guangzhou</t>
  </si>
  <si>
    <t>Heyuan</t>
  </si>
  <si>
    <t>Huizhou</t>
  </si>
  <si>
    <t>Jiangmen</t>
  </si>
  <si>
    <t>Jieyang</t>
  </si>
  <si>
    <t>Maoming</t>
  </si>
  <si>
    <t>Meizhou</t>
  </si>
  <si>
    <t>Qingyuan</t>
  </si>
  <si>
    <t>Shantou</t>
  </si>
  <si>
    <t>Shanwei</t>
  </si>
  <si>
    <t>Shaoguan</t>
  </si>
  <si>
    <t>Shenzhen</t>
  </si>
  <si>
    <t>Yangjiang</t>
  </si>
  <si>
    <t>Yunfu</t>
  </si>
  <si>
    <t>Zhanjiang</t>
  </si>
  <si>
    <t>Zhaoqing</t>
  </si>
  <si>
    <t>Zhongshan</t>
  </si>
  <si>
    <t>Zhuhai</t>
  </si>
  <si>
    <t>Delhi</t>
  </si>
  <si>
    <t>Maharashtra</t>
  </si>
  <si>
    <t>COAST</t>
  </si>
  <si>
    <t>EAST</t>
  </si>
  <si>
    <t>FAR WEST</t>
  </si>
  <si>
    <t>NORTH</t>
  </si>
  <si>
    <t>NORTH-C</t>
  </si>
  <si>
    <t>SOUTH-C</t>
  </si>
  <si>
    <t>SOUTHERN</t>
  </si>
  <si>
    <t>WEST</t>
  </si>
  <si>
    <t>Allegheny Power System</t>
  </si>
  <si>
    <t>American Electric Power Co., Inc - Appalachian</t>
  </si>
  <si>
    <t>Atlantic Electric Company</t>
  </si>
  <si>
    <t>Baltimore Gas and Electric Company</t>
  </si>
  <si>
    <t>ComEd</t>
  </si>
  <si>
    <t>Dayton Power and Light Company</t>
  </si>
  <si>
    <t>Delmarva Power and Light</t>
  </si>
  <si>
    <t>Dominion Energy</t>
  </si>
  <si>
    <t>Duke Energy Ohio</t>
  </si>
  <si>
    <t>Duquesne Light</t>
  </si>
  <si>
    <t>East Kentucky Power Coop</t>
  </si>
  <si>
    <t>First Energy - Pennsylvania Electric Company</t>
  </si>
  <si>
    <t>Jersey Central Power and Light Company</t>
  </si>
  <si>
    <t>Metropolitan Edison Company</t>
  </si>
  <si>
    <t>Orion Energy</t>
  </si>
  <si>
    <t>Pennsylvania Electric Company</t>
  </si>
  <si>
    <t>Pennsylvania Power and Light Company</t>
  </si>
  <si>
    <t>Potomac Electric Power</t>
  </si>
  <si>
    <t>Public Service Electric and Gas Company</t>
  </si>
  <si>
    <t>Loudi</t>
  </si>
  <si>
    <t>Yueyang</t>
  </si>
  <si>
    <t>Changde</t>
  </si>
  <si>
    <t>Zhangjiajie</t>
  </si>
  <si>
    <t>Huaihua</t>
  </si>
  <si>
    <t>Zhuzhou</t>
  </si>
  <si>
    <t>Yongzhou</t>
  </si>
  <si>
    <t>Xiangtan</t>
  </si>
  <si>
    <t>Xiangxi</t>
  </si>
  <si>
    <t>Yiyang</t>
  </si>
  <si>
    <t>Hengyang</t>
  </si>
  <si>
    <t>Shaoyang</t>
  </si>
  <si>
    <t>Chenzhou</t>
  </si>
  <si>
    <t>Changsha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</si>
</sst>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Q10" sqref="Q10"/>
    </sheetView>
  </sheetViews>
  <sheetFormatPr defaultColWidth="9" defaultRowHeight="14.4" outlineLevelCol="6"/>
  <cols>
    <col min="2" max="2" width="13" customWidth="1"/>
    <col min="3" max="3" width="14.1111111111111" customWidth="1"/>
    <col min="4" max="4" width="16" customWidth="1"/>
    <col min="5" max="5" width="14.4444444444444" customWidth="1"/>
    <col min="6" max="6" width="15" customWidth="1"/>
    <col min="7" max="7" width="14.3333333333333" customWidth="1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6</v>
      </c>
      <c r="B3">
        <v>0.05077</v>
      </c>
      <c r="C3">
        <v>0.066298</v>
      </c>
      <c r="D3">
        <v>0.054676</v>
      </c>
      <c r="E3">
        <v>0.079112</v>
      </c>
      <c r="F3">
        <v>0.037808</v>
      </c>
      <c r="G3">
        <v>0.049362</v>
      </c>
    </row>
    <row r="4" spans="1:7">
      <c r="A4" t="s">
        <v>7</v>
      </c>
      <c r="B4">
        <v>0.039755</v>
      </c>
      <c r="C4">
        <v>0.045988</v>
      </c>
      <c r="D4">
        <v>0.034928</v>
      </c>
      <c r="E4">
        <v>0.046348</v>
      </c>
      <c r="F4">
        <v>0.077878</v>
      </c>
      <c r="G4">
        <v>0.087662</v>
      </c>
    </row>
    <row r="5" spans="1:7">
      <c r="A5" t="s">
        <v>8</v>
      </c>
      <c r="B5">
        <v>0.034531</v>
      </c>
      <c r="C5">
        <v>0.047335</v>
      </c>
      <c r="D5">
        <v>0.029698</v>
      </c>
      <c r="E5">
        <v>0.039228</v>
      </c>
      <c r="F5">
        <v>0.027511</v>
      </c>
      <c r="G5">
        <v>0.034898</v>
      </c>
    </row>
    <row r="6" spans="1:7">
      <c r="A6" t="s">
        <v>9</v>
      </c>
      <c r="B6">
        <v>0.02281</v>
      </c>
      <c r="C6">
        <v>0.028492</v>
      </c>
      <c r="D6">
        <v>0.021606</v>
      </c>
      <c r="E6">
        <v>0.028943</v>
      </c>
      <c r="F6">
        <v>0.022373</v>
      </c>
      <c r="G6">
        <v>0.028755</v>
      </c>
    </row>
    <row r="7" spans="1:7">
      <c r="A7" t="s">
        <v>10</v>
      </c>
      <c r="B7">
        <v>0.030606</v>
      </c>
      <c r="C7">
        <v>0.037255</v>
      </c>
      <c r="D7">
        <v>0.015772</v>
      </c>
      <c r="E7">
        <v>0.021085</v>
      </c>
      <c r="F7">
        <v>0.023881</v>
      </c>
      <c r="G7">
        <v>0.030469</v>
      </c>
    </row>
    <row r="8" spans="1:7">
      <c r="A8" t="s">
        <v>11</v>
      </c>
      <c r="B8">
        <v>0.025584</v>
      </c>
      <c r="C8">
        <v>0.040472</v>
      </c>
      <c r="D8">
        <v>0.020608</v>
      </c>
      <c r="E8">
        <v>0.024616</v>
      </c>
      <c r="F8">
        <v>0.023181</v>
      </c>
      <c r="G8">
        <v>0.028009</v>
      </c>
    </row>
    <row r="9" spans="1:7">
      <c r="A9" t="s">
        <v>12</v>
      </c>
      <c r="B9">
        <v>0.022131</v>
      </c>
      <c r="C9">
        <v>0.029754</v>
      </c>
      <c r="D9">
        <v>0.033067</v>
      </c>
      <c r="E9">
        <v>0.040428</v>
      </c>
      <c r="F9">
        <v>0.024104</v>
      </c>
      <c r="G9">
        <v>0.029436</v>
      </c>
    </row>
    <row r="10" spans="1:7">
      <c r="A10" t="s">
        <v>13</v>
      </c>
      <c r="B10">
        <v>0.079946</v>
      </c>
      <c r="C10">
        <v>0.108446</v>
      </c>
      <c r="D10">
        <v>0.046269</v>
      </c>
      <c r="E10">
        <v>0.058231</v>
      </c>
      <c r="F10">
        <v>0.066938</v>
      </c>
      <c r="G10">
        <v>0.078647</v>
      </c>
    </row>
    <row r="11" spans="1:7">
      <c r="A11" t="s">
        <v>14</v>
      </c>
      <c r="B11">
        <v>0.022108</v>
      </c>
      <c r="C11">
        <v>0.027929</v>
      </c>
      <c r="D11">
        <v>0.022134</v>
      </c>
      <c r="E11">
        <v>0.026941</v>
      </c>
      <c r="F11">
        <v>0.0298</v>
      </c>
      <c r="G11">
        <v>0.037211</v>
      </c>
    </row>
    <row r="12" spans="1:7">
      <c r="A12" t="s">
        <v>15</v>
      </c>
      <c r="B12">
        <v>0.029404</v>
      </c>
      <c r="C12">
        <v>0.038485</v>
      </c>
      <c r="D12">
        <v>0.037405</v>
      </c>
      <c r="E12">
        <v>0.046362</v>
      </c>
      <c r="F12">
        <v>0.043273</v>
      </c>
      <c r="G12">
        <v>0.056824</v>
      </c>
    </row>
    <row r="13" spans="1:7">
      <c r="A13" t="s">
        <v>16</v>
      </c>
      <c r="B13">
        <v>0.020239</v>
      </c>
      <c r="C13">
        <v>0.026659</v>
      </c>
      <c r="D13">
        <v>0.143457</v>
      </c>
      <c r="E13">
        <v>0.187332</v>
      </c>
      <c r="F13">
        <v>0.040798</v>
      </c>
      <c r="G13">
        <v>0.052459</v>
      </c>
    </row>
    <row r="14" spans="1:7">
      <c r="A14" t="s">
        <v>17</v>
      </c>
      <c r="B14">
        <v>0.036085</v>
      </c>
      <c r="C14">
        <v>0.051561</v>
      </c>
      <c r="D14">
        <v>0.037007</v>
      </c>
      <c r="E14">
        <v>0.05303</v>
      </c>
      <c r="F14">
        <v>0.027095</v>
      </c>
      <c r="G14">
        <v>0.038508</v>
      </c>
    </row>
    <row r="15" spans="1:7">
      <c r="A15" t="s">
        <v>18</v>
      </c>
      <c r="B15">
        <v>0.018555</v>
      </c>
      <c r="C15">
        <v>0.023228</v>
      </c>
      <c r="D15">
        <v>0.018998</v>
      </c>
      <c r="E15">
        <v>0.023731</v>
      </c>
      <c r="F15">
        <v>0.028707</v>
      </c>
      <c r="G15">
        <v>0.037072</v>
      </c>
    </row>
    <row r="16" spans="1:7">
      <c r="A16" t="s">
        <v>19</v>
      </c>
      <c r="B16">
        <v>0.018722</v>
      </c>
      <c r="C16">
        <v>0.023159</v>
      </c>
      <c r="D16">
        <v>0.015458</v>
      </c>
      <c r="E16">
        <v>0.020315</v>
      </c>
      <c r="F16">
        <v>0.021657</v>
      </c>
      <c r="G16">
        <v>0.026646</v>
      </c>
    </row>
    <row r="17" spans="1:7">
      <c r="A17" t="s">
        <v>20</v>
      </c>
      <c r="B17">
        <v>0.017912</v>
      </c>
      <c r="C17">
        <v>0.022552</v>
      </c>
      <c r="D17">
        <v>0.01577</v>
      </c>
      <c r="E17">
        <v>0.020563</v>
      </c>
      <c r="F17">
        <v>0.022759</v>
      </c>
      <c r="G17">
        <v>0.029453</v>
      </c>
    </row>
    <row r="18" spans="1:7">
      <c r="A18" t="s">
        <v>21</v>
      </c>
      <c r="B18">
        <v>0.034391</v>
      </c>
      <c r="C18">
        <v>0.052333</v>
      </c>
      <c r="D18">
        <v>0.0401</v>
      </c>
      <c r="E18">
        <v>0.059439</v>
      </c>
      <c r="F18">
        <v>0.043632</v>
      </c>
      <c r="G18">
        <v>0.053018</v>
      </c>
    </row>
    <row r="19" spans="1:7">
      <c r="A19" t="s">
        <v>22</v>
      </c>
      <c r="B19">
        <v>0.027087</v>
      </c>
      <c r="C19">
        <v>0.033275</v>
      </c>
      <c r="D19">
        <v>0.026263</v>
      </c>
      <c r="E19">
        <v>0.032977</v>
      </c>
      <c r="F19">
        <v>0.043063</v>
      </c>
      <c r="G19">
        <v>0.053744</v>
      </c>
    </row>
    <row r="20" spans="1:7">
      <c r="A20" t="s">
        <v>23</v>
      </c>
      <c r="B20">
        <v>0.040328</v>
      </c>
      <c r="C20">
        <v>0.049998</v>
      </c>
      <c r="D20">
        <v>0.035487</v>
      </c>
      <c r="E20">
        <v>0.041771</v>
      </c>
      <c r="F20">
        <v>0.042909</v>
      </c>
      <c r="G20">
        <v>0.051517</v>
      </c>
    </row>
    <row r="21" spans="1:7">
      <c r="A21" s="3" t="s">
        <v>24</v>
      </c>
      <c r="B21">
        <f>AVERAGE(B3:B20)</f>
        <v>0.0317202222222222</v>
      </c>
      <c r="C21">
        <f t="shared" ref="B21:G21" si="0">AVERAGE(C3:C20)</f>
        <v>0.0418455</v>
      </c>
      <c r="D21">
        <f t="shared" si="0"/>
        <v>0.0360390555555556</v>
      </c>
      <c r="E21">
        <f t="shared" si="0"/>
        <v>0.0472473333333333</v>
      </c>
      <c r="F21">
        <f t="shared" si="0"/>
        <v>0.0359648333333333</v>
      </c>
      <c r="G21">
        <f t="shared" si="0"/>
        <v>0.0446494444444444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B24" sqref="B24:G24"/>
    </sheetView>
  </sheetViews>
  <sheetFormatPr defaultColWidth="9" defaultRowHeight="14.4" outlineLevelCol="6"/>
  <cols>
    <col min="2" max="3" width="12.8888888888889"/>
    <col min="4" max="4" width="9.66666666666667"/>
    <col min="5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26</v>
      </c>
      <c r="B3" s="2">
        <v>0.027683</v>
      </c>
      <c r="C3" s="2">
        <v>0.037284</v>
      </c>
      <c r="D3" s="2">
        <v>0.021178</v>
      </c>
      <c r="E3" s="2">
        <v>0.028711</v>
      </c>
      <c r="F3" s="2">
        <v>0.025559</v>
      </c>
      <c r="G3" s="2">
        <v>0.031505</v>
      </c>
    </row>
    <row r="4" spans="1:7">
      <c r="A4" t="s">
        <v>27</v>
      </c>
      <c r="B4" s="2">
        <v>0.016496</v>
      </c>
      <c r="C4" s="2">
        <v>0.022499</v>
      </c>
      <c r="D4" s="2">
        <v>0.021827</v>
      </c>
      <c r="E4" s="2">
        <v>0.03316</v>
      </c>
      <c r="F4" s="2">
        <v>0.018757</v>
      </c>
      <c r="G4" s="2">
        <v>0.024106</v>
      </c>
    </row>
    <row r="5" spans="1:7">
      <c r="A5" t="s">
        <v>28</v>
      </c>
      <c r="B5" s="2">
        <v>0.027011</v>
      </c>
      <c r="C5" s="2">
        <v>0.041734</v>
      </c>
      <c r="D5" s="2">
        <v>0.019051</v>
      </c>
      <c r="E5" s="2">
        <v>0.02652</v>
      </c>
      <c r="F5" s="2">
        <v>0.029249</v>
      </c>
      <c r="G5" s="2">
        <v>0.035285</v>
      </c>
    </row>
    <row r="6" spans="1:7">
      <c r="A6" t="s">
        <v>29</v>
      </c>
      <c r="B6" s="2">
        <v>0.019989</v>
      </c>
      <c r="C6" s="2">
        <v>0.026993</v>
      </c>
      <c r="D6" s="2">
        <v>0.024798</v>
      </c>
      <c r="E6" s="2">
        <v>0.039407</v>
      </c>
      <c r="F6" s="2">
        <v>0.021605</v>
      </c>
      <c r="G6" s="2">
        <v>0.026152</v>
      </c>
    </row>
    <row r="7" spans="1:7">
      <c r="A7" t="s">
        <v>30</v>
      </c>
      <c r="B7" s="2">
        <v>0.066337</v>
      </c>
      <c r="C7" s="2">
        <v>0.084064</v>
      </c>
      <c r="D7" s="2">
        <v>0.037376</v>
      </c>
      <c r="E7" s="2">
        <v>0.045181</v>
      </c>
      <c r="F7" s="2">
        <v>0.055706</v>
      </c>
      <c r="G7" s="2">
        <v>0.065251</v>
      </c>
    </row>
    <row r="8" spans="1:7">
      <c r="A8" t="s">
        <v>31</v>
      </c>
      <c r="B8" s="2">
        <v>0.027679</v>
      </c>
      <c r="C8" s="2">
        <v>0.041926</v>
      </c>
      <c r="D8" s="2">
        <v>0.027356</v>
      </c>
      <c r="E8" s="2">
        <v>0.040929</v>
      </c>
      <c r="F8" s="2">
        <v>0.037499</v>
      </c>
      <c r="G8" s="2">
        <v>0.044308</v>
      </c>
    </row>
    <row r="9" spans="1:7">
      <c r="A9" t="s">
        <v>32</v>
      </c>
      <c r="B9" s="2">
        <v>0.028342</v>
      </c>
      <c r="C9" s="2">
        <v>0.041462</v>
      </c>
      <c r="D9" s="2">
        <v>0.026426</v>
      </c>
      <c r="E9" s="2">
        <v>0.037367</v>
      </c>
      <c r="F9" s="2">
        <v>0.030552</v>
      </c>
      <c r="G9" s="2">
        <v>0.037824</v>
      </c>
    </row>
    <row r="10" spans="1:7">
      <c r="A10" t="s">
        <v>33</v>
      </c>
      <c r="B10" s="2">
        <v>0.073989</v>
      </c>
      <c r="C10" s="2">
        <v>0.100319</v>
      </c>
      <c r="D10" s="2">
        <v>0.047298</v>
      </c>
      <c r="E10" s="2">
        <v>0.055385</v>
      </c>
      <c r="F10" s="2">
        <v>0.066775</v>
      </c>
      <c r="G10" s="2">
        <v>0.071726</v>
      </c>
    </row>
    <row r="11" spans="1:7">
      <c r="A11" t="s">
        <v>34</v>
      </c>
      <c r="B11" s="2">
        <v>0.035161</v>
      </c>
      <c r="C11" s="2">
        <v>0.050223</v>
      </c>
      <c r="D11" s="2">
        <v>0.027481</v>
      </c>
      <c r="E11" s="2">
        <v>0.041335</v>
      </c>
      <c r="F11" s="2">
        <v>0.038347</v>
      </c>
      <c r="G11" s="2">
        <v>0.051002</v>
      </c>
    </row>
    <row r="12" spans="1:7">
      <c r="A12" t="s">
        <v>35</v>
      </c>
      <c r="B12" s="2">
        <v>0.031504</v>
      </c>
      <c r="C12" s="2">
        <v>0.042848</v>
      </c>
      <c r="D12" s="2">
        <v>0.028526</v>
      </c>
      <c r="E12" s="2">
        <v>0.036635</v>
      </c>
      <c r="F12" s="2">
        <v>0.061488</v>
      </c>
      <c r="G12" s="2">
        <v>0.068575</v>
      </c>
    </row>
    <row r="13" spans="1:7">
      <c r="A13" t="s">
        <v>36</v>
      </c>
      <c r="B13" s="2">
        <v>0.051586</v>
      </c>
      <c r="C13" s="2">
        <v>0.066055</v>
      </c>
      <c r="D13" s="2">
        <v>0.027002</v>
      </c>
      <c r="E13" s="2">
        <v>0.03523</v>
      </c>
      <c r="F13" s="2">
        <v>0.059472</v>
      </c>
      <c r="G13" s="2">
        <v>0.068841</v>
      </c>
    </row>
    <row r="14" spans="1:7">
      <c r="A14" t="s">
        <v>37</v>
      </c>
      <c r="B14" s="2">
        <v>0.027573</v>
      </c>
      <c r="C14" s="2">
        <v>0.039673</v>
      </c>
      <c r="D14" s="2">
        <v>0.021266</v>
      </c>
      <c r="E14" s="2">
        <v>0.031822</v>
      </c>
      <c r="F14" s="2">
        <v>0.027573</v>
      </c>
      <c r="G14" s="2">
        <v>0.035739</v>
      </c>
    </row>
    <row r="15" spans="1:7">
      <c r="A15" t="s">
        <v>38</v>
      </c>
      <c r="B15" s="2">
        <v>0.033257</v>
      </c>
      <c r="C15" s="2">
        <v>0.04948</v>
      </c>
      <c r="D15" s="2">
        <v>0.036399</v>
      </c>
      <c r="E15" s="2">
        <v>0.045614</v>
      </c>
      <c r="F15" s="2">
        <v>0.040732</v>
      </c>
      <c r="G15" s="2">
        <v>0.05078</v>
      </c>
    </row>
    <row r="16" spans="1:7">
      <c r="A16" t="s">
        <v>39</v>
      </c>
      <c r="B16" s="2">
        <v>0.050487</v>
      </c>
      <c r="C16" s="2">
        <v>0.065486</v>
      </c>
      <c r="D16" s="2">
        <v>0.041219</v>
      </c>
      <c r="E16" s="2">
        <v>0.051643</v>
      </c>
      <c r="F16" s="2">
        <v>0.039983</v>
      </c>
      <c r="G16" s="2">
        <v>0.049837</v>
      </c>
    </row>
    <row r="17" spans="1:7">
      <c r="A17" t="s">
        <v>40</v>
      </c>
      <c r="B17" s="2">
        <v>0.019375</v>
      </c>
      <c r="C17" s="2">
        <v>0.030327</v>
      </c>
      <c r="D17" s="2">
        <v>0.012881</v>
      </c>
      <c r="E17" s="2">
        <v>0.020297</v>
      </c>
      <c r="F17" s="2">
        <v>0.024267</v>
      </c>
      <c r="G17" s="2">
        <v>0.032446</v>
      </c>
    </row>
    <row r="18" spans="1:7">
      <c r="A18" t="s">
        <v>41</v>
      </c>
      <c r="B18" s="2">
        <v>0.054329</v>
      </c>
      <c r="C18" s="2">
        <v>0.069267</v>
      </c>
      <c r="D18" s="2">
        <v>0.046791</v>
      </c>
      <c r="E18" s="2">
        <v>0.062579</v>
      </c>
      <c r="F18" s="2">
        <v>0.084678</v>
      </c>
      <c r="G18" s="2">
        <v>0.094523</v>
      </c>
    </row>
    <row r="19" spans="1:7">
      <c r="A19" t="s">
        <v>42</v>
      </c>
      <c r="B19" s="2">
        <v>0.401657</v>
      </c>
      <c r="C19" s="2">
        <v>0.497925</v>
      </c>
      <c r="D19" s="2">
        <v>0.061613</v>
      </c>
      <c r="E19" s="2">
        <v>0.081741</v>
      </c>
      <c r="F19" s="2">
        <v>0.12791</v>
      </c>
      <c r="G19" s="2">
        <v>0.14385</v>
      </c>
    </row>
    <row r="20" spans="1:7">
      <c r="A20" t="s">
        <v>43</v>
      </c>
      <c r="B20" s="2">
        <v>0.039213</v>
      </c>
      <c r="C20" s="2">
        <v>0.064697</v>
      </c>
      <c r="D20" s="2">
        <v>0.034304</v>
      </c>
      <c r="E20" s="2">
        <v>0.056156</v>
      </c>
      <c r="F20" s="2">
        <v>0.040298</v>
      </c>
      <c r="G20" s="2">
        <v>0.060821</v>
      </c>
    </row>
    <row r="21" spans="1:7">
      <c r="A21" t="s">
        <v>44</v>
      </c>
      <c r="B21" s="2">
        <v>0.030946</v>
      </c>
      <c r="C21" s="2">
        <v>0.040714</v>
      </c>
      <c r="D21" s="2">
        <v>0.029832</v>
      </c>
      <c r="E21" s="2">
        <v>0.034483</v>
      </c>
      <c r="F21" s="2">
        <v>0.040047</v>
      </c>
      <c r="G21" s="2">
        <v>0.045921</v>
      </c>
    </row>
    <row r="22" spans="1:7">
      <c r="A22" t="s">
        <v>45</v>
      </c>
      <c r="B22" s="2">
        <v>0.026061</v>
      </c>
      <c r="C22" s="2">
        <v>0.035414</v>
      </c>
      <c r="D22" s="2">
        <v>0.023563</v>
      </c>
      <c r="E22" s="2">
        <v>0.032992</v>
      </c>
      <c r="F22" s="2">
        <v>0.031813</v>
      </c>
      <c r="G22" s="2">
        <v>0.039594</v>
      </c>
    </row>
    <row r="23" spans="1:7">
      <c r="A23" t="s">
        <v>46</v>
      </c>
      <c r="B23" s="2">
        <v>0.04398</v>
      </c>
      <c r="C23" s="2">
        <v>0.060864</v>
      </c>
      <c r="D23" s="2">
        <v>0.031768</v>
      </c>
      <c r="E23" s="2">
        <v>0.038187</v>
      </c>
      <c r="F23" s="2">
        <v>0.053163</v>
      </c>
      <c r="G23" s="2">
        <v>0.059076</v>
      </c>
    </row>
    <row r="24" spans="1:7">
      <c r="A24" s="3" t="s">
        <v>24</v>
      </c>
      <c r="B24">
        <f t="shared" ref="B24:G24" si="0">AVERAGE(B3:B23)</f>
        <v>0.0539359523809524</v>
      </c>
      <c r="C24">
        <f t="shared" si="0"/>
        <v>0.0718692380952381</v>
      </c>
      <c r="D24">
        <f t="shared" si="0"/>
        <v>0.030855</v>
      </c>
      <c r="E24">
        <f t="shared" si="0"/>
        <v>0.0416844761904762</v>
      </c>
      <c r="F24">
        <f t="shared" si="0"/>
        <v>0.0454987142857143</v>
      </c>
      <c r="G24">
        <f t="shared" si="0"/>
        <v>0.0541505714285714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selection activeCell="B3" sqref="B3:G4"/>
    </sheetView>
  </sheetViews>
  <sheetFormatPr defaultColWidth="9" defaultRowHeight="14.4" outlineLevelRow="4" outlineLevelCol="6"/>
  <cols>
    <col min="2" max="2" width="10.6666666666667"/>
    <col min="3" max="6" width="9.66666666666667"/>
    <col min="7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47</v>
      </c>
      <c r="B3" s="2">
        <v>0.02745</v>
      </c>
      <c r="C3" s="2">
        <v>0.034145</v>
      </c>
      <c r="D3" s="2">
        <v>0.04222</v>
      </c>
      <c r="E3" s="2">
        <v>0.052329</v>
      </c>
      <c r="F3" s="2">
        <v>0.048644</v>
      </c>
      <c r="G3" s="2">
        <v>0.060741</v>
      </c>
    </row>
    <row r="4" spans="1:7">
      <c r="A4" t="s">
        <v>48</v>
      </c>
      <c r="B4" s="2">
        <v>0.02257</v>
      </c>
      <c r="C4" s="2">
        <v>0.028811</v>
      </c>
      <c r="D4" s="2">
        <v>0.023299</v>
      </c>
      <c r="E4" s="2">
        <v>0.030731</v>
      </c>
      <c r="F4" s="2">
        <v>0.023948</v>
      </c>
      <c r="G4" s="2">
        <v>0.029794</v>
      </c>
    </row>
    <row r="5" spans="1:7">
      <c r="A5" s="3" t="s">
        <v>24</v>
      </c>
      <c r="B5">
        <f t="shared" ref="B5:G5" si="0">AVERAGE(B3:B4)</f>
        <v>0.02501</v>
      </c>
      <c r="C5">
        <f t="shared" si="0"/>
        <v>0.031478</v>
      </c>
      <c r="D5">
        <f t="shared" si="0"/>
        <v>0.0327595</v>
      </c>
      <c r="E5">
        <f t="shared" si="0"/>
        <v>0.04153</v>
      </c>
      <c r="F5">
        <f t="shared" si="0"/>
        <v>0.036296</v>
      </c>
      <c r="G5">
        <f t="shared" si="0"/>
        <v>0.0452675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B11" sqref="B11:G11"/>
    </sheetView>
  </sheetViews>
  <sheetFormatPr defaultColWidth="8.88888888888889" defaultRowHeight="14.4" outlineLevelCol="6"/>
  <cols>
    <col min="2" max="2" width="10.6666666666667"/>
    <col min="3" max="6" width="11.7777777777778"/>
    <col min="7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49</v>
      </c>
      <c r="B3">
        <v>0.0501</v>
      </c>
      <c r="C3">
        <v>0.06223</v>
      </c>
      <c r="D3">
        <v>0.0359</v>
      </c>
      <c r="E3">
        <v>0.04738</v>
      </c>
      <c r="F3">
        <v>0.04091</v>
      </c>
      <c r="G3">
        <v>0.05051</v>
      </c>
    </row>
    <row r="4" spans="1:7">
      <c r="A4" t="s">
        <v>50</v>
      </c>
      <c r="B4">
        <v>0.0459</v>
      </c>
      <c r="C4">
        <v>0.05652</v>
      </c>
      <c r="D4">
        <v>0.03443</v>
      </c>
      <c r="E4">
        <v>0.04524</v>
      </c>
      <c r="F4">
        <v>0.02951</v>
      </c>
      <c r="G4">
        <v>0.03775</v>
      </c>
    </row>
    <row r="5" spans="1:7">
      <c r="A5" t="s">
        <v>51</v>
      </c>
      <c r="B5">
        <v>0.03636</v>
      </c>
      <c r="C5">
        <v>0.04273</v>
      </c>
      <c r="D5">
        <v>0.02916</v>
      </c>
      <c r="E5">
        <v>0.03593</v>
      </c>
      <c r="F5">
        <v>0.08662</v>
      </c>
      <c r="G5">
        <v>0.09193</v>
      </c>
    </row>
    <row r="6" spans="1:7">
      <c r="A6" t="s">
        <v>52</v>
      </c>
      <c r="B6">
        <v>0.04253</v>
      </c>
      <c r="C6">
        <v>0.05294</v>
      </c>
      <c r="D6">
        <v>0.04465</v>
      </c>
      <c r="E6">
        <v>0.05795</v>
      </c>
      <c r="F6">
        <v>0.04373</v>
      </c>
      <c r="G6">
        <v>0.05623</v>
      </c>
    </row>
    <row r="7" spans="1:7">
      <c r="A7" t="s">
        <v>53</v>
      </c>
      <c r="B7">
        <v>0.06166</v>
      </c>
      <c r="C7">
        <v>0.07665</v>
      </c>
      <c r="D7">
        <v>0.04476</v>
      </c>
      <c r="E7">
        <v>0.05527</v>
      </c>
      <c r="F7">
        <v>0.03637</v>
      </c>
      <c r="G7">
        <v>0.04873</v>
      </c>
    </row>
    <row r="8" spans="1:7">
      <c r="A8" t="s">
        <v>54</v>
      </c>
      <c r="B8">
        <v>0.04343</v>
      </c>
      <c r="C8">
        <v>0.05862</v>
      </c>
      <c r="D8">
        <v>0.02811</v>
      </c>
      <c r="E8">
        <v>0.03736</v>
      </c>
      <c r="F8">
        <v>0.04</v>
      </c>
      <c r="G8">
        <v>0.05081</v>
      </c>
    </row>
    <row r="9" spans="1:7">
      <c r="A9" t="s">
        <v>55</v>
      </c>
      <c r="B9">
        <v>0.05273</v>
      </c>
      <c r="C9">
        <v>0.06747</v>
      </c>
      <c r="D9">
        <v>0.04018</v>
      </c>
      <c r="E9">
        <v>0.05098</v>
      </c>
      <c r="F9">
        <v>0.04378</v>
      </c>
      <c r="G9">
        <v>0.05396</v>
      </c>
    </row>
    <row r="10" spans="1:7">
      <c r="A10" t="s">
        <v>56</v>
      </c>
      <c r="B10">
        <v>0.05443</v>
      </c>
      <c r="C10">
        <v>0.06981</v>
      </c>
      <c r="D10">
        <v>0.0388</v>
      </c>
      <c r="E10">
        <v>0.04934</v>
      </c>
      <c r="F10">
        <v>0.04097</v>
      </c>
      <c r="G10">
        <v>0.05166</v>
      </c>
    </row>
    <row r="11" spans="1:7">
      <c r="A11" s="3" t="s">
        <v>24</v>
      </c>
      <c r="B11">
        <f t="shared" ref="B11:G11" si="0">AVERAGE(B3:B10)</f>
        <v>0.0483925</v>
      </c>
      <c r="C11">
        <f t="shared" si="0"/>
        <v>0.06087125</v>
      </c>
      <c r="D11">
        <f t="shared" si="0"/>
        <v>0.03699875</v>
      </c>
      <c r="E11">
        <f t="shared" si="0"/>
        <v>0.04743125</v>
      </c>
      <c r="F11">
        <f t="shared" si="0"/>
        <v>0.04523625</v>
      </c>
      <c r="G11">
        <f t="shared" si="0"/>
        <v>0.0551975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K15" sqref="K15"/>
    </sheetView>
  </sheetViews>
  <sheetFormatPr defaultColWidth="8.8888888888888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57</v>
      </c>
      <c r="B3" s="2">
        <v>0.039346</v>
      </c>
      <c r="C3" s="2">
        <v>0.054285</v>
      </c>
      <c r="D3" s="2">
        <v>0.034726</v>
      </c>
      <c r="E3" s="2">
        <v>0.045129</v>
      </c>
      <c r="F3" s="2">
        <v>0.04536</v>
      </c>
      <c r="G3" s="2">
        <v>0.05938</v>
      </c>
    </row>
    <row r="4" spans="1:7">
      <c r="A4" t="s">
        <v>58</v>
      </c>
      <c r="B4" s="2">
        <v>0.026172</v>
      </c>
      <c r="C4" s="2">
        <v>0.036567</v>
      </c>
      <c r="D4" s="2">
        <v>0.018627</v>
      </c>
      <c r="E4" s="2">
        <v>0.027696</v>
      </c>
      <c r="F4" s="2">
        <v>0.018956</v>
      </c>
      <c r="G4" s="2">
        <v>0.026896</v>
      </c>
    </row>
    <row r="5" spans="1:7">
      <c r="A5" t="s">
        <v>59</v>
      </c>
      <c r="B5" s="2">
        <v>0.041571</v>
      </c>
      <c r="C5" s="2">
        <v>0.057252</v>
      </c>
      <c r="D5" s="2">
        <v>0.024745</v>
      </c>
      <c r="E5" s="2">
        <v>0.034068</v>
      </c>
      <c r="F5" s="2">
        <v>0.036551</v>
      </c>
      <c r="G5" s="2">
        <v>0.048487</v>
      </c>
    </row>
    <row r="6" spans="1:7">
      <c r="A6" t="s">
        <v>60</v>
      </c>
      <c r="B6" s="2">
        <v>0.050006</v>
      </c>
      <c r="C6" s="2">
        <v>0.071873</v>
      </c>
      <c r="D6" s="2">
        <v>0.041595</v>
      </c>
      <c r="E6" s="2">
        <v>0.058249</v>
      </c>
      <c r="F6" s="2">
        <v>0.040467</v>
      </c>
      <c r="G6" s="2">
        <v>0.053328</v>
      </c>
    </row>
    <row r="7" spans="1:7">
      <c r="A7" t="s">
        <v>61</v>
      </c>
      <c r="B7" s="2">
        <v>0.035218</v>
      </c>
      <c r="C7" s="2">
        <v>0.048258</v>
      </c>
      <c r="D7" s="2">
        <v>0.026083</v>
      </c>
      <c r="E7" s="2">
        <v>0.035014</v>
      </c>
      <c r="F7" s="2">
        <v>0.028466</v>
      </c>
      <c r="G7" s="2">
        <v>0.037246</v>
      </c>
    </row>
    <row r="8" spans="1:7">
      <c r="A8" t="s">
        <v>62</v>
      </c>
      <c r="B8" s="2">
        <v>0.056443</v>
      </c>
      <c r="C8" s="2">
        <v>0.086958</v>
      </c>
      <c r="D8" s="2">
        <v>0.044282</v>
      </c>
      <c r="E8" s="2">
        <v>0.06583</v>
      </c>
      <c r="F8" s="2">
        <v>0.057832</v>
      </c>
      <c r="G8" s="2">
        <v>0.076584</v>
      </c>
    </row>
    <row r="9" spans="1:7">
      <c r="A9" t="s">
        <v>63</v>
      </c>
      <c r="B9" s="2">
        <v>0.043631</v>
      </c>
      <c r="C9" s="2">
        <v>0.059056</v>
      </c>
      <c r="D9" s="2">
        <v>0.029475</v>
      </c>
      <c r="E9" s="2">
        <v>0.037215</v>
      </c>
      <c r="F9" s="2">
        <v>0.030764</v>
      </c>
      <c r="G9" s="2">
        <v>0.041877</v>
      </c>
    </row>
    <row r="10" spans="1:7">
      <c r="A10" t="s">
        <v>64</v>
      </c>
      <c r="B10" s="2">
        <v>0.024502</v>
      </c>
      <c r="C10" s="2">
        <v>0.032608</v>
      </c>
      <c r="D10" s="2">
        <v>0.017728</v>
      </c>
      <c r="E10" s="2">
        <v>0.022512</v>
      </c>
      <c r="F10" s="2">
        <v>0.018075</v>
      </c>
      <c r="G10" s="2">
        <v>0.023888</v>
      </c>
    </row>
    <row r="11" spans="1:7">
      <c r="A11" t="s">
        <v>65</v>
      </c>
      <c r="B11" s="2">
        <v>0.044532</v>
      </c>
      <c r="C11" s="2">
        <v>0.063416</v>
      </c>
      <c r="D11" s="2">
        <v>0.043036</v>
      </c>
      <c r="E11" s="2">
        <v>0.063051</v>
      </c>
      <c r="F11" s="2">
        <v>0.047856</v>
      </c>
      <c r="G11" s="2">
        <v>0.064112</v>
      </c>
    </row>
    <row r="12" spans="1:7">
      <c r="A12" t="s">
        <v>66</v>
      </c>
      <c r="B12" s="2">
        <v>0.0446</v>
      </c>
      <c r="C12" s="2">
        <v>0.058931</v>
      </c>
      <c r="D12" s="2">
        <v>0.040595</v>
      </c>
      <c r="E12" s="2">
        <v>0.05483</v>
      </c>
      <c r="F12" s="2">
        <v>0.048827</v>
      </c>
      <c r="G12" s="2">
        <v>0.064393</v>
      </c>
    </row>
    <row r="13" spans="1:7">
      <c r="A13" t="s">
        <v>67</v>
      </c>
      <c r="B13" s="2">
        <v>0.034115</v>
      </c>
      <c r="C13" s="2">
        <v>0.044658</v>
      </c>
      <c r="D13" s="2">
        <v>0.028298</v>
      </c>
      <c r="E13" s="2">
        <v>0.036566</v>
      </c>
      <c r="F13" s="2">
        <v>0.027571</v>
      </c>
      <c r="G13" s="2">
        <v>0.036549</v>
      </c>
    </row>
    <row r="14" spans="1:7">
      <c r="A14" t="s">
        <v>68</v>
      </c>
      <c r="B14" s="2">
        <v>0.054205</v>
      </c>
      <c r="C14" s="2">
        <v>0.068404</v>
      </c>
      <c r="D14" s="2">
        <v>0.044143</v>
      </c>
      <c r="E14" s="2">
        <v>0.056731</v>
      </c>
      <c r="F14" s="2">
        <v>0.05206</v>
      </c>
      <c r="G14" s="2">
        <v>0.065065</v>
      </c>
    </row>
    <row r="15" spans="1:7">
      <c r="A15" t="s">
        <v>69</v>
      </c>
      <c r="B15" s="2">
        <v>0.038804</v>
      </c>
      <c r="C15" s="2">
        <v>0.053847</v>
      </c>
      <c r="D15" s="2">
        <v>0.028359</v>
      </c>
      <c r="E15" s="2">
        <v>0.039756</v>
      </c>
      <c r="F15" s="2">
        <v>0.046379</v>
      </c>
      <c r="G15" s="2">
        <v>0.065012</v>
      </c>
    </row>
    <row r="16" spans="1:7">
      <c r="A16" t="s">
        <v>70</v>
      </c>
      <c r="B16" s="2">
        <v>0.050471</v>
      </c>
      <c r="C16" s="2">
        <v>0.068502</v>
      </c>
      <c r="D16" s="2">
        <v>0.040672</v>
      </c>
      <c r="E16" s="2">
        <v>0.056165</v>
      </c>
      <c r="F16" s="2">
        <v>0.051235</v>
      </c>
      <c r="G16" s="2">
        <v>0.067427</v>
      </c>
    </row>
    <row r="17" spans="1:7">
      <c r="A17" t="s">
        <v>71</v>
      </c>
      <c r="B17" s="2">
        <v>0.05788</v>
      </c>
      <c r="C17" s="2">
        <v>0.080871</v>
      </c>
      <c r="D17" s="2">
        <v>0.058253</v>
      </c>
      <c r="E17" s="2">
        <v>0.07986</v>
      </c>
      <c r="F17" s="2">
        <v>0.055747</v>
      </c>
      <c r="G17" s="2">
        <v>0.076106</v>
      </c>
    </row>
    <row r="18" spans="1:7">
      <c r="A18" t="s">
        <v>72</v>
      </c>
      <c r="B18" s="2">
        <v>0.044749</v>
      </c>
      <c r="C18" s="2">
        <v>0.061593</v>
      </c>
      <c r="D18" s="2">
        <v>0.023191</v>
      </c>
      <c r="E18" s="2">
        <v>0.031149</v>
      </c>
      <c r="F18" s="2">
        <v>0.044111</v>
      </c>
      <c r="G18" s="2">
        <v>0.059293</v>
      </c>
    </row>
    <row r="19" spans="1:7">
      <c r="A19" t="s">
        <v>73</v>
      </c>
      <c r="B19" s="2">
        <v>0.045411</v>
      </c>
      <c r="C19" s="2">
        <v>0.06403</v>
      </c>
      <c r="D19" s="2">
        <v>0.032907</v>
      </c>
      <c r="E19" s="2">
        <v>0.044162</v>
      </c>
      <c r="F19" s="2">
        <v>0.040511</v>
      </c>
      <c r="G19" s="2">
        <v>0.056163</v>
      </c>
    </row>
    <row r="20" spans="1:7">
      <c r="A20" t="s">
        <v>74</v>
      </c>
      <c r="B20" s="2">
        <v>0.043542</v>
      </c>
      <c r="C20" s="2">
        <v>0.05981</v>
      </c>
      <c r="D20" s="2">
        <v>0.03263</v>
      </c>
      <c r="E20" s="2">
        <v>0.044174</v>
      </c>
      <c r="F20" s="2">
        <v>0.04205</v>
      </c>
      <c r="G20" s="2">
        <v>0.055188</v>
      </c>
    </row>
    <row r="21" spans="1:7">
      <c r="A21" t="s">
        <v>75</v>
      </c>
      <c r="B21" s="2">
        <v>0.048848</v>
      </c>
      <c r="C21" s="2">
        <v>0.069994</v>
      </c>
      <c r="D21" s="2">
        <v>0.036748</v>
      </c>
      <c r="E21" s="2">
        <v>0.049584</v>
      </c>
      <c r="F21" s="2">
        <v>0.040264</v>
      </c>
      <c r="G21" s="2">
        <v>0.056413</v>
      </c>
    </row>
    <row r="22" spans="1:7">
      <c r="A22" s="3" t="s">
        <v>24</v>
      </c>
      <c r="B22">
        <f t="shared" ref="B22:G22" si="0">AVERAGE(B3:B21)</f>
        <v>0.0433708421052632</v>
      </c>
      <c r="C22">
        <f t="shared" si="0"/>
        <v>0.0600480526315789</v>
      </c>
      <c r="D22">
        <f t="shared" si="0"/>
        <v>0.0340048947368421</v>
      </c>
      <c r="E22">
        <f t="shared" si="0"/>
        <v>0.0464074210526316</v>
      </c>
      <c r="F22">
        <f t="shared" si="0"/>
        <v>0.0406885263157895</v>
      </c>
      <c r="G22">
        <f t="shared" si="0"/>
        <v>0.0543898421052632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N10" sqref="N10"/>
    </sheetView>
  </sheetViews>
  <sheetFormatPr defaultColWidth="8.88888888888889" defaultRowHeight="14.4" outlineLevelCol="6"/>
  <cols>
    <col min="2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76</v>
      </c>
      <c r="B3" s="2">
        <v>0.162798</v>
      </c>
      <c r="C3" s="2">
        <v>0.21489</v>
      </c>
      <c r="D3" s="2">
        <v>0.071613</v>
      </c>
      <c r="E3" s="2">
        <v>0.085436</v>
      </c>
      <c r="F3" s="2">
        <v>0.11754</v>
      </c>
      <c r="G3" s="2">
        <v>0.129851</v>
      </c>
    </row>
    <row r="4" spans="1:7">
      <c r="A4" t="s">
        <v>77</v>
      </c>
      <c r="B4" s="2">
        <v>0.022212</v>
      </c>
      <c r="C4" s="2">
        <v>0.028901</v>
      </c>
      <c r="D4" s="2">
        <v>0.018817</v>
      </c>
      <c r="E4" s="2">
        <v>0.024545</v>
      </c>
      <c r="F4" s="2">
        <v>0.02637</v>
      </c>
      <c r="G4" s="2">
        <v>0.03378</v>
      </c>
    </row>
    <row r="5" spans="1:7">
      <c r="A5" t="s">
        <v>78</v>
      </c>
      <c r="B5" s="2">
        <v>0.022635</v>
      </c>
      <c r="C5" s="2">
        <v>0.028297</v>
      </c>
      <c r="D5" s="2">
        <v>0.035867</v>
      </c>
      <c r="E5" s="2">
        <v>0.04126</v>
      </c>
      <c r="F5" s="2">
        <v>0.028217</v>
      </c>
      <c r="G5" s="2">
        <v>0.035534</v>
      </c>
    </row>
    <row r="6" spans="1:7">
      <c r="A6" t="s">
        <v>79</v>
      </c>
      <c r="B6" s="2">
        <v>0.039742</v>
      </c>
      <c r="C6" s="2">
        <v>0.048745</v>
      </c>
      <c r="D6" s="2">
        <v>0.028104</v>
      </c>
      <c r="E6" s="2">
        <v>0.03482</v>
      </c>
      <c r="F6" s="2">
        <v>0.039332</v>
      </c>
      <c r="G6" s="2">
        <v>0.049138</v>
      </c>
    </row>
    <row r="7" spans="1:7">
      <c r="A7" t="s">
        <v>80</v>
      </c>
      <c r="B7" s="2">
        <v>0.03751</v>
      </c>
      <c r="C7" s="2">
        <v>0.047757</v>
      </c>
      <c r="D7" s="2">
        <v>0.031261</v>
      </c>
      <c r="E7" s="2">
        <v>0.039161</v>
      </c>
      <c r="F7" s="2">
        <v>0.044332</v>
      </c>
      <c r="G7" s="2">
        <v>0.054649</v>
      </c>
    </row>
    <row r="8" spans="1:7">
      <c r="A8" t="s">
        <v>81</v>
      </c>
      <c r="B8" s="2">
        <v>0.057338</v>
      </c>
      <c r="C8" s="2">
        <v>0.070094</v>
      </c>
      <c r="D8" s="2">
        <v>0.0261</v>
      </c>
      <c r="E8" s="2">
        <v>0.034868</v>
      </c>
      <c r="F8" s="2">
        <v>0.037505</v>
      </c>
      <c r="G8" s="2">
        <v>0.045751</v>
      </c>
    </row>
    <row r="9" spans="1:7">
      <c r="A9" t="s">
        <v>82</v>
      </c>
      <c r="B9" s="2">
        <v>0.047282</v>
      </c>
      <c r="C9" s="2">
        <v>0.058281</v>
      </c>
      <c r="D9" s="2">
        <v>0.029584</v>
      </c>
      <c r="E9" s="2">
        <v>0.035838</v>
      </c>
      <c r="F9" s="2">
        <v>0.063591</v>
      </c>
      <c r="G9" s="2">
        <v>0.074919</v>
      </c>
    </row>
    <row r="10" spans="1:7">
      <c r="A10" t="s">
        <v>83</v>
      </c>
      <c r="B10" s="2">
        <v>0.053613</v>
      </c>
      <c r="C10" s="2">
        <v>0.071684</v>
      </c>
      <c r="D10" s="2">
        <v>0.030631</v>
      </c>
      <c r="E10" s="2">
        <v>0.038446</v>
      </c>
      <c r="F10" s="2">
        <v>0.061696</v>
      </c>
      <c r="G10" s="2">
        <v>0.079174</v>
      </c>
    </row>
    <row r="11" spans="1:7">
      <c r="A11" t="s">
        <v>84</v>
      </c>
      <c r="B11" s="2">
        <v>0.038146</v>
      </c>
      <c r="C11" s="2">
        <v>0.049044</v>
      </c>
      <c r="D11" s="2">
        <v>0.02512</v>
      </c>
      <c r="E11" s="2">
        <v>0.032311</v>
      </c>
      <c r="F11" s="2">
        <v>0.024558</v>
      </c>
      <c r="G11" s="2">
        <v>0.031948</v>
      </c>
    </row>
    <row r="12" spans="1:7">
      <c r="A12" t="s">
        <v>85</v>
      </c>
      <c r="B12" s="2">
        <v>0.068653</v>
      </c>
      <c r="C12" s="2">
        <v>0.106382</v>
      </c>
      <c r="D12" s="2">
        <v>0.038988</v>
      </c>
      <c r="E12" s="2">
        <v>0.04634</v>
      </c>
      <c r="F12" s="2">
        <v>0.03234</v>
      </c>
      <c r="G12" s="2">
        <v>0.04104</v>
      </c>
    </row>
    <row r="13" spans="1:7">
      <c r="A13" t="s">
        <v>86</v>
      </c>
      <c r="B13" s="2">
        <v>0.043342</v>
      </c>
      <c r="C13" s="2">
        <v>0.057119</v>
      </c>
      <c r="D13" s="2">
        <v>0.028855</v>
      </c>
      <c r="E13" s="2">
        <v>0.038127</v>
      </c>
      <c r="F13" s="2">
        <v>0.044559</v>
      </c>
      <c r="G13" s="2">
        <v>0.053733</v>
      </c>
    </row>
    <row r="14" spans="1:7">
      <c r="A14" t="s">
        <v>87</v>
      </c>
      <c r="B14" s="2">
        <v>0.030348</v>
      </c>
      <c r="C14" s="2">
        <v>0.041861</v>
      </c>
      <c r="D14" s="2">
        <v>0.017249</v>
      </c>
      <c r="E14" s="2">
        <v>0.022578</v>
      </c>
      <c r="F14" s="2">
        <v>0.037774</v>
      </c>
      <c r="G14" s="2">
        <v>0.04651</v>
      </c>
    </row>
    <row r="15" spans="1:7">
      <c r="A15" t="s">
        <v>88</v>
      </c>
      <c r="B15" s="2">
        <v>0.094455</v>
      </c>
      <c r="C15" s="2">
        <v>0.122826</v>
      </c>
      <c r="D15" s="2">
        <v>0.036079</v>
      </c>
      <c r="E15" s="2">
        <v>0.049999</v>
      </c>
      <c r="F15" s="2">
        <v>0.098051</v>
      </c>
      <c r="G15" s="2">
        <v>0.114444</v>
      </c>
    </row>
    <row r="16" spans="1:7">
      <c r="A16" t="s">
        <v>89</v>
      </c>
      <c r="B16" s="2">
        <v>0.04225</v>
      </c>
      <c r="C16" s="2">
        <v>0.052894</v>
      </c>
      <c r="D16" s="2">
        <v>0.033078</v>
      </c>
      <c r="E16" s="2">
        <v>0.043715</v>
      </c>
      <c r="F16" s="2">
        <v>0.037624</v>
      </c>
      <c r="G16" s="2">
        <v>0.044631</v>
      </c>
    </row>
    <row r="17" spans="1:7">
      <c r="A17" s="3" t="s">
        <v>24</v>
      </c>
      <c r="B17">
        <f t="shared" ref="B17:G17" si="0">AVERAGE(B3:B16)</f>
        <v>0.0543088571428571</v>
      </c>
      <c r="C17">
        <f t="shared" si="0"/>
        <v>0.0713410714285714</v>
      </c>
      <c r="D17">
        <f t="shared" si="0"/>
        <v>0.032239</v>
      </c>
      <c r="E17">
        <f t="shared" si="0"/>
        <v>0.0405317142857143</v>
      </c>
      <c r="F17">
        <f t="shared" si="0"/>
        <v>0.0495349285714286</v>
      </c>
      <c r="G17">
        <f t="shared" si="0"/>
        <v>0.0596501428571429</v>
      </c>
    </row>
    <row r="21" spans="1:1">
      <c r="A21" s="3"/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欧洲</vt:lpstr>
      <vt:lpstr>广东</vt:lpstr>
      <vt:lpstr>印度</vt:lpstr>
      <vt:lpstr>德州</vt:lpstr>
      <vt:lpstr>PJM</vt:lpstr>
      <vt:lpstr>湖南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Lu</dc:creator>
  <cp:lastModifiedBy>冲淡</cp:lastModifiedBy>
  <dcterms:created xsi:type="dcterms:W3CDTF">2023-05-12T11:15:00Z</dcterms:created>
  <dcterms:modified xsi:type="dcterms:W3CDTF">2025-09-05T12:57:44Z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D01A383DF3544A18BF4E428E43030353_12</vt:lpwstr>
  </property>
</Properties>
</file>