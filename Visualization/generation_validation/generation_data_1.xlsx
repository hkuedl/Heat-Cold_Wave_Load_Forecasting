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rsonal\博士论文\heatwave load forecasting\generation_data_proportion\"/>
    </mc:Choice>
  </mc:AlternateContent>
  <bookViews>
    <workbookView windowWidth="22188" windowHeight="9060" activeTab="5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<sst xmlns="http://schemas.openxmlformats.org/spreadsheetml/2006/main" count="112" uniqueCount="88">
  <si>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Counrty</t>
  </si>
  <si>
    <t>LSTM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</si>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</sst>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1" sqref="D1:G21"/>
    </sheetView>
  </sheetViews>
  <sheetFormatPr defaultColWidth="9" defaultRowHeight="14.4" outlineLevelCol="6"/>
  <cols>
    <col min="2" max="2" width="13" customWidth="1"/>
    <col min="3" max="3" width="14.1111111111111" customWidth="1"/>
    <col min="4" max="4" width="16" customWidth="1"/>
    <col min="5" max="5" width="14.4444444444444" customWidth="1"/>
    <col min="6" max="6" width="15" customWidth="1"/>
    <col min="7" max="7" width="14.3333333333333" customWidth="1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</v>
      </c>
      <c r="B3">
        <v>0.054676</v>
      </c>
      <c r="C3">
        <v>0.079112</v>
      </c>
    </row>
    <row r="4" spans="1:7">
      <c r="A4" t="s">
        <v>5</v>
      </c>
      <c r="B4">
        <v>0.034928</v>
      </c>
      <c r="C4">
        <v>0.046348</v>
      </c>
    </row>
    <row r="5" spans="1:7">
      <c r="A5" t="s">
        <v>6</v>
      </c>
      <c r="B5">
        <v>0.029698</v>
      </c>
      <c r="C5">
        <v>0.039228</v>
      </c>
    </row>
    <row r="6" spans="1:7">
      <c r="A6" t="s">
        <v>7</v>
      </c>
      <c r="B6">
        <v>0.021606</v>
      </c>
      <c r="C6">
        <v>0.028943</v>
      </c>
    </row>
    <row r="7" spans="1:7">
      <c r="A7" t="s">
        <v>8</v>
      </c>
      <c r="B7">
        <v>0.015772</v>
      </c>
      <c r="C7">
        <v>0.021085</v>
      </c>
    </row>
    <row r="8" spans="1:7">
      <c r="A8" t="s">
        <v>9</v>
      </c>
      <c r="B8">
        <v>0.020608</v>
      </c>
      <c r="C8">
        <v>0.024616</v>
      </c>
    </row>
    <row r="9" spans="1:7">
      <c r="A9" t="s">
        <v>10</v>
      </c>
      <c r="B9">
        <v>0.033067</v>
      </c>
      <c r="C9">
        <v>0.040428</v>
      </c>
    </row>
    <row r="10" spans="1:7">
      <c r="A10" t="s">
        <v>11</v>
      </c>
      <c r="B10">
        <v>0.046269</v>
      </c>
      <c r="C10">
        <v>0.058231</v>
      </c>
    </row>
    <row r="11" spans="1:7">
      <c r="A11" t="s">
        <v>12</v>
      </c>
      <c r="B11">
        <v>0.022134</v>
      </c>
      <c r="C11">
        <v>0.026941</v>
      </c>
    </row>
    <row r="12" spans="1:7">
      <c r="A12" t="s">
        <v>13</v>
      </c>
      <c r="B12">
        <v>0.037405</v>
      </c>
      <c r="C12">
        <v>0.046362</v>
      </c>
    </row>
    <row r="13" spans="1:7">
      <c r="A13" t="s">
        <v>14</v>
      </c>
      <c r="B13">
        <v>0.143457</v>
      </c>
      <c r="C13">
        <v>0.187332</v>
      </c>
    </row>
    <row r="14" spans="1:7">
      <c r="A14" t="s">
        <v>15</v>
      </c>
      <c r="B14">
        <v>0.037007</v>
      </c>
      <c r="C14">
        <v>0.05303</v>
      </c>
    </row>
    <row r="15" spans="1:7">
      <c r="A15" t="s">
        <v>16</v>
      </c>
      <c r="B15">
        <v>0.018998</v>
      </c>
      <c r="C15">
        <v>0.023731</v>
      </c>
    </row>
    <row r="16" spans="1:7">
      <c r="A16" t="s">
        <v>17</v>
      </c>
      <c r="B16">
        <v>0.015458</v>
      </c>
      <c r="C16">
        <v>0.020315</v>
      </c>
    </row>
    <row r="17" spans="1:3">
      <c r="A17" t="s">
        <v>18</v>
      </c>
      <c r="B17">
        <v>0.01577</v>
      </c>
      <c r="C17">
        <v>0.020563</v>
      </c>
    </row>
    <row r="18" spans="1:3">
      <c r="A18" t="s">
        <v>19</v>
      </c>
      <c r="B18">
        <v>0.0401</v>
      </c>
      <c r="C18">
        <v>0.059439</v>
      </c>
    </row>
    <row r="19" spans="1:3">
      <c r="A19" t="s">
        <v>20</v>
      </c>
      <c r="B19">
        <v>0.026263</v>
      </c>
      <c r="C19">
        <v>0.032977</v>
      </c>
    </row>
    <row r="20" spans="1:3">
      <c r="A20" t="s">
        <v>21</v>
      </c>
      <c r="B20">
        <v>0.035487</v>
      </c>
      <c r="C20">
        <v>0.041771</v>
      </c>
    </row>
    <row r="21" spans="1:3">
      <c r="A21" s="3" t="s">
        <v>22</v>
      </c>
      <c r="B21">
        <f xml:space="preserve">AVERAGE(B3:B20)</f>
        <v>0.0360390555555556</v>
      </c>
      <c r="C21">
        <f xml:space="preserve">AVERAGE(C3:C20)</f>
        <v>0.0472473333333333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1" sqref="D1:G24"/>
    </sheetView>
  </sheetViews>
  <sheetFormatPr defaultColWidth="9" defaultRowHeight="14.4" outlineLevelCol="6"/>
  <cols>
    <col min="2" max="3" width="12.8888888888889"/>
    <col min="4" max="4" width="9.66666666666667"/>
    <col min="5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24</v>
      </c>
      <c r="B3" s="2">
        <v>0.021178</v>
      </c>
      <c r="C3" s="2">
        <v>0.028711</v>
      </c>
      <c r="D3" s="2"/>
      <c r="E3" s="2"/>
      <c r="F3" s="2"/>
      <c r="G3" s="2"/>
    </row>
    <row r="4" spans="1:7">
      <c r="A4" t="s">
        <v>25</v>
      </c>
      <c r="B4" s="2">
        <v>0.021827</v>
      </c>
      <c r="C4" s="2">
        <v>0.03316</v>
      </c>
      <c r="D4" s="2"/>
      <c r="E4" s="2"/>
      <c r="F4" s="2"/>
      <c r="G4" s="2"/>
    </row>
    <row r="5" spans="1:7">
      <c r="A5" t="s">
        <v>26</v>
      </c>
      <c r="B5" s="2">
        <v>0.019051</v>
      </c>
      <c r="C5" s="2">
        <v>0.02652</v>
      </c>
      <c r="D5" s="2"/>
      <c r="E5" s="2"/>
      <c r="F5" s="2"/>
      <c r="G5" s="2"/>
    </row>
    <row r="6" spans="1:7">
      <c r="A6" t="s">
        <v>27</v>
      </c>
      <c r="B6" s="2">
        <v>0.024798</v>
      </c>
      <c r="C6" s="2">
        <v>0.039407</v>
      </c>
      <c r="D6" s="2"/>
      <c r="E6" s="2"/>
      <c r="F6" s="2"/>
      <c r="G6" s="2"/>
    </row>
    <row r="7" spans="1:7">
      <c r="A7" t="s">
        <v>28</v>
      </c>
      <c r="B7" s="2">
        <v>0.037376</v>
      </c>
      <c r="C7" s="2">
        <v>0.045181</v>
      </c>
      <c r="D7" s="2"/>
      <c r="E7" s="2"/>
      <c r="F7" s="2"/>
      <c r="G7" s="2"/>
    </row>
    <row r="8" spans="1:7">
      <c r="A8" t="s">
        <v>29</v>
      </c>
      <c r="B8" s="2">
        <v>0.027356</v>
      </c>
      <c r="C8" s="2">
        <v>0.040929</v>
      </c>
      <c r="D8" s="2"/>
      <c r="E8" s="2"/>
      <c r="F8" s="2"/>
      <c r="G8" s="2"/>
    </row>
    <row r="9" spans="1:7">
      <c r="A9" t="s">
        <v>30</v>
      </c>
      <c r="B9" s="2">
        <v>0.026426</v>
      </c>
      <c r="C9" s="2">
        <v>0.037367</v>
      </c>
      <c r="D9" s="2"/>
      <c r="E9" s="2"/>
      <c r="F9" s="2"/>
      <c r="G9" s="2"/>
    </row>
    <row r="10" spans="1:7">
      <c r="A10" t="s">
        <v>31</v>
      </c>
      <c r="B10" s="2">
        <v>0.047298</v>
      </c>
      <c r="C10" s="2">
        <v>0.055385</v>
      </c>
      <c r="D10" s="2"/>
      <c r="E10" s="2"/>
      <c r="F10" s="2"/>
      <c r="G10" s="2"/>
    </row>
    <row r="11" spans="1:7">
      <c r="A11" t="s">
        <v>32</v>
      </c>
      <c r="B11" s="2">
        <v>0.027481</v>
      </c>
      <c r="C11" s="2">
        <v>0.041335</v>
      </c>
      <c r="D11" s="2"/>
      <c r="E11" s="2"/>
      <c r="F11" s="2"/>
      <c r="G11" s="2"/>
    </row>
    <row r="12" spans="1:7">
      <c r="A12" t="s">
        <v>33</v>
      </c>
      <c r="B12" s="2">
        <v>0.028526</v>
      </c>
      <c r="C12" s="2">
        <v>0.036635</v>
      </c>
      <c r="D12" s="2"/>
      <c r="E12" s="2"/>
      <c r="F12" s="2"/>
      <c r="G12" s="2"/>
    </row>
    <row r="13" spans="1:7">
      <c r="A13" t="s">
        <v>34</v>
      </c>
      <c r="B13" s="2">
        <v>0.027002</v>
      </c>
      <c r="C13" s="2">
        <v>0.03523</v>
      </c>
      <c r="D13" s="2"/>
      <c r="E13" s="2"/>
      <c r="F13" s="2"/>
      <c r="G13" s="2"/>
    </row>
    <row r="14" spans="1:7">
      <c r="A14" t="s">
        <v>35</v>
      </c>
      <c r="B14" s="2">
        <v>0.021266</v>
      </c>
      <c r="C14" s="2">
        <v>0.031822</v>
      </c>
      <c r="D14" s="2"/>
      <c r="E14" s="2"/>
      <c r="F14" s="2"/>
      <c r="G14" s="2"/>
    </row>
    <row r="15" spans="1:7">
      <c r="A15" t="s">
        <v>36</v>
      </c>
      <c r="B15" s="2">
        <v>0.036399</v>
      </c>
      <c r="C15" s="2">
        <v>0.045614</v>
      </c>
      <c r="D15" s="2"/>
      <c r="E15" s="2"/>
      <c r="F15" s="2"/>
      <c r="G15" s="2"/>
    </row>
    <row r="16" spans="1:7">
      <c r="A16" t="s">
        <v>37</v>
      </c>
      <c r="B16" s="2">
        <v>0.041219</v>
      </c>
      <c r="C16" s="2">
        <v>0.051643</v>
      </c>
      <c r="D16" s="2"/>
      <c r="E16" s="2"/>
      <c r="F16" s="2"/>
      <c r="G16" s="2"/>
    </row>
    <row r="17" spans="1:7">
      <c r="A17" t="s">
        <v>38</v>
      </c>
      <c r="B17" s="2">
        <v>0.012881</v>
      </c>
      <c r="C17" s="2">
        <v>0.020297</v>
      </c>
      <c r="D17" s="2"/>
      <c r="E17" s="2"/>
      <c r="F17" s="2"/>
      <c r="G17" s="2"/>
    </row>
    <row r="18" spans="1:7">
      <c r="A18" t="s">
        <v>39</v>
      </c>
      <c r="B18" s="2">
        <v>0.046791</v>
      </c>
      <c r="C18" s="2">
        <v>0.062579</v>
      </c>
      <c r="D18" s="2"/>
      <c r="E18" s="2"/>
      <c r="F18" s="2"/>
      <c r="G18" s="2"/>
    </row>
    <row r="19" spans="1:7">
      <c r="A19" t="s">
        <v>40</v>
      </c>
      <c r="B19" s="2">
        <v>0.061613</v>
      </c>
      <c r="C19" s="2">
        <v>0.081741</v>
      </c>
      <c r="D19" s="2"/>
      <c r="E19" s="2"/>
      <c r="F19" s="2"/>
      <c r="G19" s="2"/>
    </row>
    <row r="20" spans="1:7">
      <c r="A20" t="s">
        <v>41</v>
      </c>
      <c r="B20" s="2">
        <v>0.034304</v>
      </c>
      <c r="C20" s="2">
        <v>0.056156</v>
      </c>
      <c r="D20" s="2"/>
      <c r="E20" s="2"/>
      <c r="F20" s="2"/>
      <c r="G20" s="2"/>
    </row>
    <row r="21" spans="1:7">
      <c r="A21" t="s">
        <v>42</v>
      </c>
      <c r="B21" s="2">
        <v>0.029832</v>
      </c>
      <c r="C21" s="2">
        <v>0.034483</v>
      </c>
      <c r="D21" s="2"/>
      <c r="E21" s="2"/>
      <c r="F21" s="2"/>
      <c r="G21" s="2"/>
    </row>
    <row r="22" spans="1:7">
      <c r="A22" t="s">
        <v>43</v>
      </c>
      <c r="B22" s="2">
        <v>0.023563</v>
      </c>
      <c r="C22" s="2">
        <v>0.032992</v>
      </c>
      <c r="D22" s="2"/>
      <c r="E22" s="2"/>
      <c r="F22" s="2"/>
      <c r="G22" s="2"/>
    </row>
    <row r="23" spans="1:7">
      <c r="A23" t="s">
        <v>44</v>
      </c>
      <c r="B23" s="2">
        <v>0.031768</v>
      </c>
      <c r="C23" s="2">
        <v>0.038187</v>
      </c>
      <c r="D23" s="2"/>
      <c r="E23" s="2"/>
      <c r="F23" s="2"/>
      <c r="G23" s="2"/>
    </row>
    <row r="24" spans="1:7">
      <c r="A24" s="3" t="s">
        <v>22</v>
      </c>
      <c r="B24">
        <f xml:space="preserve">AVERAGE(B3:B23)</f>
        <v>0.030855</v>
      </c>
      <c r="C24">
        <f xml:space="preserve">AVERAGE(C3:C23)</f>
        <v>0.0416844761904762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" sqref="D1:G5"/>
    </sheetView>
  </sheetViews>
  <sheetFormatPr defaultColWidth="9" defaultRowHeight="14.4" outlineLevelRow="4" outlineLevelCol="6"/>
  <cols>
    <col min="2" max="2" width="10.6666666666667"/>
    <col min="3" max="6" width="9.66666666666667"/>
    <col min="7" max="7" width="10.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45</v>
      </c>
      <c r="B3" s="2">
        <v>0.04222</v>
      </c>
      <c r="C3" s="2">
        <v>0.052329</v>
      </c>
      <c r="D3" s="2"/>
      <c r="E3" s="2"/>
      <c r="F3" s="2"/>
      <c r="G3" s="2"/>
    </row>
    <row r="4" spans="1:7">
      <c r="A4" t="s">
        <v>46</v>
      </c>
      <c r="B4" s="2">
        <v>0.023299</v>
      </c>
      <c r="C4" s="2">
        <v>0.030731</v>
      </c>
      <c r="D4" s="2"/>
      <c r="E4" s="2"/>
      <c r="F4" s="2"/>
      <c r="G4" s="2"/>
    </row>
    <row r="5" spans="1:7">
      <c r="A5" s="3" t="s">
        <v>22</v>
      </c>
      <c r="B5">
        <f xml:space="preserve">AVERAGE(B3:B4)</f>
        <v>0.0327595</v>
      </c>
      <c r="C5">
        <f xml:space="preserve">AVERAGE(C3:C4)</f>
        <v>0.04153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" sqref="D1:G11"/>
    </sheetView>
  </sheetViews>
  <sheetFormatPr defaultColWidth="8.88888888888889" defaultRowHeight="14.4" outlineLevelCol="6"/>
  <cols>
    <col min="2" max="2" width="10.6666666666667"/>
    <col min="3" max="6" width="11.7777777777778"/>
    <col min="7" max="7" width="10.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47</v>
      </c>
      <c r="B3">
        <v>0.0359</v>
      </c>
      <c r="C3">
        <v>0.04738</v>
      </c>
    </row>
    <row r="4" spans="1:7">
      <c r="A4" t="s">
        <v>48</v>
      </c>
      <c r="B4">
        <v>0.03443</v>
      </c>
      <c r="C4">
        <v>0.04524</v>
      </c>
    </row>
    <row r="5" spans="1:7">
      <c r="A5" t="s">
        <v>49</v>
      </c>
      <c r="B5">
        <v>0.02916</v>
      </c>
      <c r="C5">
        <v>0.03593</v>
      </c>
    </row>
    <row r="6" spans="1:7">
      <c r="A6" t="s">
        <v>50</v>
      </c>
      <c r="B6">
        <v>0.04465</v>
      </c>
      <c r="C6">
        <v>0.05795</v>
      </c>
    </row>
    <row r="7" spans="1:7">
      <c r="A7" t="s">
        <v>51</v>
      </c>
      <c r="B7">
        <v>0.04476</v>
      </c>
      <c r="C7">
        <v>0.05527</v>
      </c>
    </row>
    <row r="8" spans="1:7">
      <c r="A8" t="s">
        <v>52</v>
      </c>
      <c r="B8">
        <v>0.02811</v>
      </c>
      <c r="C8">
        <v>0.03736</v>
      </c>
    </row>
    <row r="9" spans="1:7">
      <c r="A9" t="s">
        <v>53</v>
      </c>
      <c r="B9">
        <v>0.04018</v>
      </c>
      <c r="C9">
        <v>0.05098</v>
      </c>
    </row>
    <row r="10" spans="1:7">
      <c r="A10" t="s">
        <v>54</v>
      </c>
      <c r="B10">
        <v>0.0388</v>
      </c>
      <c r="C10">
        <v>0.04934</v>
      </c>
    </row>
    <row r="11" spans="1:7">
      <c r="A11" s="3" t="s">
        <v>22</v>
      </c>
      <c r="B11">
        <f xml:space="preserve">AVERAGE(B3:B10)</f>
        <v>0.03699875</v>
      </c>
      <c r="C11">
        <f xml:space="preserve">AVERAGE(C3:C10)</f>
        <v>0.04743125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" sqref="D1:G22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55</v>
      </c>
      <c r="B3" s="2">
        <v>0.034726</v>
      </c>
      <c r="C3" s="2">
        <v>0.045129</v>
      </c>
      <c r="D3" s="2"/>
      <c r="E3" s="2"/>
      <c r="F3" s="2"/>
      <c r="G3" s="2"/>
    </row>
    <row r="4" spans="1:7">
      <c r="A4" t="s">
        <v>56</v>
      </c>
      <c r="B4" s="2">
        <v>0.018627</v>
      </c>
      <c r="C4" s="2">
        <v>0.027696</v>
      </c>
      <c r="D4" s="2"/>
      <c r="E4" s="2"/>
      <c r="F4" s="2"/>
      <c r="G4" s="2"/>
    </row>
    <row r="5" spans="1:7">
      <c r="A5" t="s">
        <v>57</v>
      </c>
      <c r="B5" s="2">
        <v>0.024745</v>
      </c>
      <c r="C5" s="2">
        <v>0.034068</v>
      </c>
      <c r="D5" s="2"/>
      <c r="E5" s="2"/>
      <c r="F5" s="2"/>
      <c r="G5" s="2"/>
    </row>
    <row r="6" spans="1:7">
      <c r="A6" t="s">
        <v>58</v>
      </c>
      <c r="B6" s="2">
        <v>0.041595</v>
      </c>
      <c r="C6" s="2">
        <v>0.058249</v>
      </c>
      <c r="D6" s="2"/>
      <c r="E6" s="2"/>
      <c r="F6" s="2"/>
      <c r="G6" s="2"/>
    </row>
    <row r="7" spans="1:7">
      <c r="A7" t="s">
        <v>59</v>
      </c>
      <c r="B7" s="2">
        <v>0.026083</v>
      </c>
      <c r="C7" s="2">
        <v>0.035014</v>
      </c>
      <c r="D7" s="2"/>
      <c r="E7" s="2"/>
      <c r="F7" s="2"/>
      <c r="G7" s="2"/>
    </row>
    <row r="8" spans="1:7">
      <c r="A8" t="s">
        <v>60</v>
      </c>
      <c r="B8" s="2">
        <v>0.044282</v>
      </c>
      <c r="C8" s="2">
        <v>0.06583</v>
      </c>
      <c r="D8" s="2"/>
      <c r="E8" s="2"/>
      <c r="F8" s="2"/>
      <c r="G8" s="2"/>
    </row>
    <row r="9" spans="1:7">
      <c r="A9" t="s">
        <v>61</v>
      </c>
      <c r="B9" s="2">
        <v>0.029475</v>
      </c>
      <c r="C9" s="2">
        <v>0.037215</v>
      </c>
      <c r="D9" s="2"/>
      <c r="E9" s="2"/>
      <c r="F9" s="2"/>
      <c r="G9" s="2"/>
    </row>
    <row r="10" spans="1:7">
      <c r="A10" t="s">
        <v>62</v>
      </c>
      <c r="B10" s="2">
        <v>0.017728</v>
      </c>
      <c r="C10" s="2">
        <v>0.022512</v>
      </c>
      <c r="D10" s="2"/>
      <c r="E10" s="2"/>
      <c r="F10" s="2"/>
      <c r="G10" s="2"/>
    </row>
    <row r="11" spans="1:7">
      <c r="A11" t="s">
        <v>63</v>
      </c>
      <c r="B11" s="2">
        <v>0.043036</v>
      </c>
      <c r="C11" s="2">
        <v>0.063051</v>
      </c>
      <c r="D11" s="2"/>
      <c r="E11" s="2"/>
      <c r="F11" s="2"/>
      <c r="G11" s="2"/>
    </row>
    <row r="12" spans="1:7">
      <c r="A12" t="s">
        <v>64</v>
      </c>
      <c r="B12" s="2">
        <v>0.040595</v>
      </c>
      <c r="C12" s="2">
        <v>0.05483</v>
      </c>
      <c r="D12" s="2"/>
      <c r="E12" s="2"/>
      <c r="F12" s="2"/>
      <c r="G12" s="2"/>
    </row>
    <row r="13" spans="1:7">
      <c r="A13" t="s">
        <v>65</v>
      </c>
      <c r="B13" s="2">
        <v>0.028298</v>
      </c>
      <c r="C13" s="2">
        <v>0.036566</v>
      </c>
      <c r="D13" s="2"/>
      <c r="E13" s="2"/>
      <c r="F13" s="2"/>
      <c r="G13" s="2"/>
    </row>
    <row r="14" spans="1:7">
      <c r="A14" t="s">
        <v>66</v>
      </c>
      <c r="B14" s="2">
        <v>0.044143</v>
      </c>
      <c r="C14" s="2">
        <v>0.056731</v>
      </c>
      <c r="D14" s="2"/>
      <c r="E14" s="2"/>
      <c r="F14" s="2"/>
      <c r="G14" s="2"/>
    </row>
    <row r="15" spans="1:7">
      <c r="A15" t="s">
        <v>67</v>
      </c>
      <c r="B15" s="2">
        <v>0.028359</v>
      </c>
      <c r="C15" s="2">
        <v>0.039756</v>
      </c>
      <c r="D15" s="2"/>
      <c r="E15" s="2"/>
      <c r="F15" s="2"/>
      <c r="G15" s="2"/>
    </row>
    <row r="16" spans="1:7">
      <c r="A16" t="s">
        <v>68</v>
      </c>
      <c r="B16" s="2">
        <v>0.040672</v>
      </c>
      <c r="C16" s="2">
        <v>0.056165</v>
      </c>
      <c r="D16" s="2"/>
      <c r="E16" s="2"/>
      <c r="F16" s="2"/>
      <c r="G16" s="2"/>
    </row>
    <row r="17" spans="1:7">
      <c r="A17" t="s">
        <v>69</v>
      </c>
      <c r="B17" s="2">
        <v>0.058253</v>
      </c>
      <c r="C17" s="2">
        <v>0.07986</v>
      </c>
      <c r="D17" s="2"/>
      <c r="E17" s="2"/>
      <c r="F17" s="2"/>
      <c r="G17" s="2"/>
    </row>
    <row r="18" spans="1:7">
      <c r="A18" t="s">
        <v>70</v>
      </c>
      <c r="B18" s="2">
        <v>0.023191</v>
      </c>
      <c r="C18" s="2">
        <v>0.031149</v>
      </c>
      <c r="D18" s="2"/>
      <c r="E18" s="2"/>
      <c r="F18" s="2"/>
      <c r="G18" s="2"/>
    </row>
    <row r="19" spans="1:7">
      <c r="A19" t="s">
        <v>71</v>
      </c>
      <c r="B19" s="2">
        <v>0.032907</v>
      </c>
      <c r="C19" s="2">
        <v>0.044162</v>
      </c>
      <c r="D19" s="2"/>
      <c r="E19" s="2"/>
      <c r="F19" s="2"/>
      <c r="G19" s="2"/>
    </row>
    <row r="20" spans="1:7">
      <c r="A20" t="s">
        <v>72</v>
      </c>
      <c r="B20" s="2">
        <v>0.03263</v>
      </c>
      <c r="C20" s="2">
        <v>0.044174</v>
      </c>
      <c r="D20" s="2"/>
      <c r="E20" s="2"/>
      <c r="F20" s="2"/>
      <c r="G20" s="2"/>
    </row>
    <row r="21" spans="1:7">
      <c r="A21" t="s">
        <v>73</v>
      </c>
      <c r="B21" s="2">
        <v>0.036748</v>
      </c>
      <c r="C21" s="2">
        <v>0.049584</v>
      </c>
      <c r="D21" s="2"/>
      <c r="E21" s="2"/>
      <c r="F21" s="2"/>
      <c r="G21" s="2"/>
    </row>
    <row r="22" spans="1:7">
      <c r="A22" s="3" t="s">
        <v>22</v>
      </c>
      <c r="B22">
        <f xml:space="preserve">AVERAGE(B3:B21)</f>
        <v>0.0340048947368421</v>
      </c>
      <c r="C22">
        <f xml:space="preserve">AVERAGE(C3:C21)</f>
        <v>0.0464074210526316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1" sqref="D1:G17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74</v>
      </c>
      <c r="B3" s="2">
        <v>0.071613</v>
      </c>
      <c r="C3" s="2">
        <v>0.085436</v>
      </c>
      <c r="D3" s="2"/>
      <c r="E3" s="2"/>
      <c r="F3" s="2"/>
      <c r="G3" s="2"/>
    </row>
    <row r="4" spans="1:7">
      <c r="A4" t="s">
        <v>75</v>
      </c>
      <c r="B4" s="2">
        <v>0.018817</v>
      </c>
      <c r="C4" s="2">
        <v>0.024545</v>
      </c>
      <c r="D4" s="2"/>
      <c r="E4" s="2"/>
      <c r="F4" s="2"/>
      <c r="G4" s="2"/>
    </row>
    <row r="5" spans="1:7">
      <c r="A5" t="s">
        <v>76</v>
      </c>
      <c r="B5" s="2">
        <v>0.035867</v>
      </c>
      <c r="C5" s="2">
        <v>0.04126</v>
      </c>
      <c r="D5" s="2"/>
      <c r="E5" s="2"/>
      <c r="F5" s="2"/>
      <c r="G5" s="2"/>
    </row>
    <row r="6" spans="1:7">
      <c r="A6" t="s">
        <v>77</v>
      </c>
      <c r="B6" s="2">
        <v>0.028104</v>
      </c>
      <c r="C6" s="2">
        <v>0.03482</v>
      </c>
      <c r="D6" s="2"/>
      <c r="E6" s="2"/>
      <c r="F6" s="2"/>
      <c r="G6" s="2"/>
    </row>
    <row r="7" spans="1:7">
      <c r="A7" t="s">
        <v>78</v>
      </c>
      <c r="B7" s="2">
        <v>0.031261</v>
      </c>
      <c r="C7" s="2">
        <v>0.039161</v>
      </c>
      <c r="D7" s="2"/>
      <c r="E7" s="2"/>
      <c r="F7" s="2"/>
      <c r="G7" s="2"/>
    </row>
    <row r="8" spans="1:7">
      <c r="A8" t="s">
        <v>79</v>
      </c>
      <c r="B8" s="2">
        <v>0.0261</v>
      </c>
      <c r="C8" s="2">
        <v>0.034868</v>
      </c>
      <c r="D8" s="2"/>
      <c r="E8" s="2"/>
      <c r="F8" s="2"/>
      <c r="G8" s="2"/>
    </row>
    <row r="9" spans="1:7">
      <c r="A9" t="s">
        <v>80</v>
      </c>
      <c r="B9" s="2">
        <v>0.029584</v>
      </c>
      <c r="C9" s="2">
        <v>0.035838</v>
      </c>
      <c r="D9" s="2"/>
      <c r="E9" s="2"/>
      <c r="F9" s="2"/>
      <c r="G9" s="2"/>
    </row>
    <row r="10" spans="1:7">
      <c r="A10" t="s">
        <v>81</v>
      </c>
      <c r="B10" s="2">
        <v>0.030631</v>
      </c>
      <c r="C10" s="2">
        <v>0.038446</v>
      </c>
      <c r="D10" s="2"/>
      <c r="E10" s="2"/>
      <c r="F10" s="2"/>
      <c r="G10" s="2"/>
    </row>
    <row r="11" spans="1:7">
      <c r="A11" t="s">
        <v>82</v>
      </c>
      <c r="B11" s="2">
        <v>0.02512</v>
      </c>
      <c r="C11" s="2">
        <v>0.032311</v>
      </c>
      <c r="D11" s="2"/>
      <c r="E11" s="2"/>
      <c r="F11" s="2"/>
      <c r="G11" s="2"/>
    </row>
    <row r="12" spans="1:7">
      <c r="A12" t="s">
        <v>83</v>
      </c>
      <c r="B12" s="2">
        <v>0.038988</v>
      </c>
      <c r="C12" s="2">
        <v>0.04634</v>
      </c>
      <c r="D12" s="2"/>
      <c r="E12" s="2"/>
      <c r="F12" s="2"/>
      <c r="G12" s="2"/>
    </row>
    <row r="13" spans="1:7">
      <c r="A13" t="s">
        <v>84</v>
      </c>
      <c r="B13" s="2">
        <v>0.028855</v>
      </c>
      <c r="C13" s="2">
        <v>0.038127</v>
      </c>
      <c r="D13" s="2"/>
      <c r="E13" s="2"/>
      <c r="F13" s="2"/>
      <c r="G13" s="2"/>
    </row>
    <row r="14" spans="1:7">
      <c r="A14" t="s">
        <v>85</v>
      </c>
      <c r="B14" s="2">
        <v>0.017249</v>
      </c>
      <c r="C14" s="2">
        <v>0.022578</v>
      </c>
      <c r="D14" s="2"/>
      <c r="E14" s="2"/>
      <c r="F14" s="2"/>
      <c r="G14" s="2"/>
    </row>
    <row r="15" spans="1:7">
      <c r="A15" t="s">
        <v>86</v>
      </c>
      <c r="B15" s="2">
        <v>0.036079</v>
      </c>
      <c r="C15" s="2">
        <v>0.049999</v>
      </c>
      <c r="D15" s="2"/>
      <c r="E15" s="2"/>
      <c r="F15" s="2"/>
      <c r="G15" s="2"/>
    </row>
    <row r="16" spans="1:7">
      <c r="A16" t="s">
        <v>87</v>
      </c>
      <c r="B16" s="2">
        <v>0.033078</v>
      </c>
      <c r="C16" s="2">
        <v>0.043715</v>
      </c>
      <c r="D16" s="2"/>
      <c r="E16" s="2"/>
      <c r="F16" s="2"/>
      <c r="G16" s="2"/>
    </row>
    <row r="17" spans="1:3">
      <c r="A17" s="3" t="s">
        <v>22</v>
      </c>
      <c r="B17">
        <f xml:space="preserve">AVERAGE(B3:B16)</f>
        <v>0.032239</v>
      </c>
      <c r="C17">
        <f xml:space="preserve">AVERAGE(C3:C16)</f>
        <v>0.0405317142857143</v>
      </c>
    </row>
    <row r="21" spans="1:3">
      <c r="A21" s="3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2026-10-14T06:40:28Z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D01A383DF3544A18BF4E428E43030353_12</vt:lpwstr>
  </property>
  <property fmtid="{D5CDD505-2E9C-101B-9397-08002B2CF9AE}" pid="4" name="CalculationRule">
    <vt:i4>0</vt:i4>
  </property>
</Properties>
</file>