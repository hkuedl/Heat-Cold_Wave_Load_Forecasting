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2"/>
  </bookViews>
  <sheets>
    <sheet name="欧洲" sheetId="1" r:id="rId1"/>
    <sheet name="广东" sheetId="2" r:id="rId2"/>
    <sheet name="印度" sheetId="3" r:id="rId3"/>
    <sheet name="德州" sheetId="4" r:id="rId4"/>
    <sheet name="PJM" sheetId="5" r:id="rId5"/>
    <sheet name="湖南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<sst xmlns="http://schemas.openxmlformats.org/spreadsheetml/2006/main" count="148" uniqueCount="90">
  <si>
    <t>Counrty</t>
  </si>
  <si>
    <t>MLP</t>
  </si>
  <si>
    <t>LSTM</t>
  </si>
  <si>
    <t>CNN</t>
  </si>
  <si>
    <t>MAE</t>
  </si>
  <si>
    <t>RMSE</t>
  </si>
  <si>
    <t>Belgium</t>
  </si>
  <si>
    <t>Croatia</t>
  </si>
  <si>
    <t>Denmark</t>
  </si>
  <si>
    <t>Finland</t>
  </si>
  <si>
    <t>France</t>
  </si>
  <si>
    <t>Germany</t>
  </si>
  <si>
    <t>Hungary</t>
  </si>
  <si>
    <t>Ireland</t>
  </si>
  <si>
    <t>Italy</t>
  </si>
  <si>
    <t>Lithuania</t>
  </si>
  <si>
    <t>Latvia</t>
  </si>
  <si>
    <t>Netherlands</t>
  </si>
  <si>
    <t>Norway</t>
  </si>
  <si>
    <t>Poland</t>
  </si>
  <si>
    <t>Romania</t>
  </si>
  <si>
    <t>Slovenia</t>
  </si>
  <si>
    <t>Sweden</t>
  </si>
  <si>
    <t>Switzerland</t>
  </si>
  <si>
    <t>Average</t>
  </si>
  <si>
    <t>Region</t>
  </si>
  <si>
    <t>Chaozhou</t>
  </si>
  <si>
    <t>Dongguan</t>
  </si>
  <si>
    <t>Foshan</t>
  </si>
  <si>
    <t>Guangzhou</t>
  </si>
  <si>
    <t>Heyuan</t>
  </si>
  <si>
    <t>Huizhou</t>
  </si>
  <si>
    <t>Jiangmen</t>
  </si>
  <si>
    <t>Jieyang</t>
  </si>
  <si>
    <t>Maoming</t>
  </si>
  <si>
    <t>Meizhou</t>
  </si>
  <si>
    <t>Qingyuan</t>
  </si>
  <si>
    <t>Shantou</t>
  </si>
  <si>
    <t>Shanwei</t>
  </si>
  <si>
    <t>Shaoguan</t>
  </si>
  <si>
    <t>Shenzhen</t>
  </si>
  <si>
    <t>Yangjiang</t>
  </si>
  <si>
    <t>Yunfu</t>
  </si>
  <si>
    <t>Zhanjiang</t>
  </si>
  <si>
    <t>Zhaoqing</t>
  </si>
  <si>
    <t>Zhongshan</t>
  </si>
  <si>
    <t>Zhuhai</t>
  </si>
  <si>
    <t>Delhi</t>
  </si>
  <si>
    <t>Maharashtra</t>
  </si>
  <si>
    <t>COAST</t>
  </si>
  <si>
    <t>EAST</t>
  </si>
  <si>
    <t>FAR WEST</t>
  </si>
  <si>
    <t>NORTH</t>
  </si>
  <si>
    <t>NORTH-C</t>
  </si>
  <si>
    <t>SOUTH-C</t>
  </si>
  <si>
    <t>SOUTHERN</t>
  </si>
  <si>
    <t>WEST</t>
  </si>
  <si>
    <t>Allegheny Power System</t>
  </si>
  <si>
    <t>American Electric Power Co., Inc - Appalachian</t>
  </si>
  <si>
    <t>Atlantic Electric Company</t>
  </si>
  <si>
    <t>Baltimore Gas and Electric Company</t>
  </si>
  <si>
    <t>ComEd</t>
  </si>
  <si>
    <t>Dayton Power and Light Company</t>
  </si>
  <si>
    <t>Delmarva Power and Light</t>
  </si>
  <si>
    <t>Dominion Energy</t>
  </si>
  <si>
    <t>Duke Energy Ohio</t>
  </si>
  <si>
    <t>Duquesne Light</t>
  </si>
  <si>
    <t>East Kentucky Power Coop</t>
  </si>
  <si>
    <t>First Energy - Pennsylvania Electric Company</t>
  </si>
  <si>
    <t>Jersey Central Power and Light Company</t>
  </si>
  <si>
    <t>Metropolitan Edison Company</t>
  </si>
  <si>
    <t>Orion Energy</t>
  </si>
  <si>
    <t>Pennsylvania Electric Company</t>
  </si>
  <si>
    <t>Pennsylvania Power and Light Company</t>
  </si>
  <si>
    <t>Potomac Electric Power</t>
  </si>
  <si>
    <t>Public Service Electric and Gas Company</t>
  </si>
  <si>
    <t>Loudi</t>
  </si>
  <si>
    <t>Yueyang</t>
  </si>
  <si>
    <t>Changde</t>
  </si>
  <si>
    <t>Zhangjiajie</t>
  </si>
  <si>
    <t>Huaihua</t>
  </si>
  <si>
    <t>Zhuzhou</t>
  </si>
  <si>
    <t>Yongzhou</t>
  </si>
  <si>
    <t>Xiangtan</t>
  </si>
  <si>
    <t>Xiangxi</t>
  </si>
  <si>
    <t>Yiyang</t>
  </si>
  <si>
    <t>Hengyang</t>
  </si>
  <si>
    <t>Shaoyang</t>
  </si>
  <si>
    <t>Chenzhou</t>
  </si>
  <si>
    <t>Changsha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</si>
</sst>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L11" sqref="L11"/>
    </sheetView>
  </sheetViews>
  <sheetFormatPr defaultColWidth="9" defaultRowHeight="14.4" outlineLevelCol="6"/>
  <cols>
    <col min="2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6</v>
      </c>
      <c r="B3">
        <v>0.043239</v>
      </c>
      <c r="C3">
        <v>0.052956</v>
      </c>
      <c r="D3">
        <v>0.044622</v>
      </c>
      <c r="E3">
        <v>0.053185</v>
      </c>
      <c r="F3">
        <v>0.044986</v>
      </c>
      <c r="G3">
        <v>0.058254</v>
      </c>
    </row>
    <row r="4" spans="1:7">
      <c r="A4" t="s">
        <v>7</v>
      </c>
      <c r="B4">
        <v>0.077408</v>
      </c>
      <c r="C4">
        <v>0.098967</v>
      </c>
      <c r="D4">
        <v>0.052103</v>
      </c>
      <c r="E4">
        <v>0.063507</v>
      </c>
      <c r="F4">
        <v>0.078712</v>
      </c>
      <c r="G4">
        <v>0.088057</v>
      </c>
    </row>
    <row r="5" spans="1:7">
      <c r="A5" t="s">
        <v>8</v>
      </c>
      <c r="B5">
        <v>0.050783</v>
      </c>
      <c r="C5">
        <v>0.06739</v>
      </c>
      <c r="D5">
        <v>0.025812</v>
      </c>
      <c r="E5">
        <v>0.034978</v>
      </c>
      <c r="F5">
        <v>0.050973</v>
      </c>
      <c r="G5">
        <v>0.064859</v>
      </c>
    </row>
    <row r="6" spans="1:7">
      <c r="A6" t="s">
        <v>9</v>
      </c>
      <c r="B6">
        <v>0.024672</v>
      </c>
      <c r="C6">
        <v>0.029278</v>
      </c>
      <c r="D6">
        <v>0.023453</v>
      </c>
      <c r="E6">
        <v>0.03059</v>
      </c>
      <c r="F6">
        <v>0.027298</v>
      </c>
      <c r="G6">
        <v>0.031301</v>
      </c>
    </row>
    <row r="7" spans="1:7">
      <c r="A7" t="s">
        <v>10</v>
      </c>
      <c r="B7">
        <v>0.028435</v>
      </c>
      <c r="C7">
        <v>0.035237</v>
      </c>
      <c r="D7">
        <v>0.026842</v>
      </c>
      <c r="E7">
        <v>0.035107</v>
      </c>
      <c r="F7">
        <v>0.03353</v>
      </c>
      <c r="G7">
        <v>0.040915</v>
      </c>
    </row>
    <row r="8" spans="1:7">
      <c r="A8" t="s">
        <v>11</v>
      </c>
      <c r="B8">
        <v>0.029299</v>
      </c>
      <c r="C8">
        <v>0.039922</v>
      </c>
      <c r="D8">
        <v>0.024276</v>
      </c>
      <c r="E8">
        <v>0.031905</v>
      </c>
      <c r="F8">
        <v>0.02421</v>
      </c>
      <c r="G8">
        <v>0.028217</v>
      </c>
    </row>
    <row r="9" spans="1:7">
      <c r="A9" t="s">
        <v>12</v>
      </c>
      <c r="B9">
        <v>0.039196</v>
      </c>
      <c r="C9">
        <v>0.049765</v>
      </c>
      <c r="D9">
        <v>0.019428</v>
      </c>
      <c r="E9">
        <v>0.02392</v>
      </c>
      <c r="F9">
        <v>0.042203</v>
      </c>
      <c r="G9">
        <v>0.049767</v>
      </c>
    </row>
    <row r="10" spans="1:7">
      <c r="A10" t="s">
        <v>13</v>
      </c>
      <c r="B10">
        <v>0.105125</v>
      </c>
      <c r="C10">
        <v>0.144946</v>
      </c>
      <c r="D10">
        <v>0.060214</v>
      </c>
      <c r="E10">
        <v>0.084488</v>
      </c>
      <c r="F10">
        <v>0.059108</v>
      </c>
      <c r="G10">
        <v>0.07476</v>
      </c>
    </row>
    <row r="11" spans="1:7">
      <c r="A11" t="s">
        <v>14</v>
      </c>
      <c r="B11">
        <v>0.033322</v>
      </c>
      <c r="C11">
        <v>0.044518</v>
      </c>
      <c r="D11">
        <v>0.021165</v>
      </c>
      <c r="E11">
        <v>0.027553</v>
      </c>
      <c r="F11">
        <v>0.034196</v>
      </c>
      <c r="G11">
        <v>0.046086</v>
      </c>
    </row>
    <row r="12" spans="1:7">
      <c r="A12" t="s">
        <v>15</v>
      </c>
      <c r="B12">
        <v>0.053742</v>
      </c>
      <c r="C12">
        <v>0.07313</v>
      </c>
      <c r="D12">
        <v>0.048489</v>
      </c>
      <c r="E12">
        <v>0.063055</v>
      </c>
      <c r="F12">
        <v>0.057554</v>
      </c>
      <c r="G12">
        <v>0.064506</v>
      </c>
    </row>
    <row r="13" spans="1:7">
      <c r="A13" t="s">
        <v>16</v>
      </c>
      <c r="B13">
        <v>0.02515</v>
      </c>
      <c r="C13">
        <v>0.032686</v>
      </c>
      <c r="D13">
        <v>0.025529</v>
      </c>
      <c r="E13">
        <v>0.033914</v>
      </c>
      <c r="F13">
        <v>0.036978</v>
      </c>
      <c r="G13">
        <v>0.04667</v>
      </c>
    </row>
    <row r="14" spans="1:7">
      <c r="A14" t="s">
        <v>17</v>
      </c>
      <c r="B14">
        <v>0.028103</v>
      </c>
      <c r="C14">
        <v>0.036035</v>
      </c>
      <c r="D14">
        <v>0.031814</v>
      </c>
      <c r="E14">
        <v>0.040708</v>
      </c>
      <c r="F14">
        <v>0.018469</v>
      </c>
      <c r="G14">
        <v>0.025136</v>
      </c>
    </row>
    <row r="15" spans="1:7">
      <c r="A15" t="s">
        <v>18</v>
      </c>
      <c r="B15">
        <v>0.024218</v>
      </c>
      <c r="C15">
        <v>0.030838</v>
      </c>
      <c r="D15">
        <v>0.033525</v>
      </c>
      <c r="E15">
        <v>0.043195</v>
      </c>
      <c r="F15">
        <v>0.024721</v>
      </c>
      <c r="G15">
        <v>0.031361</v>
      </c>
    </row>
    <row r="16" spans="1:7">
      <c r="A16" t="s">
        <v>19</v>
      </c>
      <c r="B16">
        <v>0.028374</v>
      </c>
      <c r="C16">
        <v>0.034043</v>
      </c>
      <c r="D16">
        <v>0.021806</v>
      </c>
      <c r="E16">
        <v>0.02677</v>
      </c>
      <c r="F16">
        <v>0.055075</v>
      </c>
      <c r="G16">
        <v>0.066736</v>
      </c>
    </row>
    <row r="17" spans="1:7">
      <c r="A17" t="s">
        <v>20</v>
      </c>
      <c r="B17">
        <v>0.049652</v>
      </c>
      <c r="C17">
        <v>0.059897</v>
      </c>
      <c r="D17">
        <v>0.031228</v>
      </c>
      <c r="E17">
        <v>0.038534</v>
      </c>
      <c r="F17">
        <v>0.021489</v>
      </c>
      <c r="G17">
        <v>0.026803</v>
      </c>
    </row>
    <row r="18" spans="1:7">
      <c r="A18" t="s">
        <v>21</v>
      </c>
      <c r="B18">
        <v>0.077691</v>
      </c>
      <c r="C18">
        <v>0.093541</v>
      </c>
      <c r="D18">
        <v>0.043615</v>
      </c>
      <c r="E18">
        <v>0.05464</v>
      </c>
      <c r="F18">
        <v>0.035772</v>
      </c>
      <c r="G18">
        <v>0.04393</v>
      </c>
    </row>
    <row r="19" spans="1:7">
      <c r="A19" t="s">
        <v>22</v>
      </c>
      <c r="B19">
        <v>0.029778</v>
      </c>
      <c r="C19">
        <v>0.036505</v>
      </c>
      <c r="D19">
        <v>0.026851</v>
      </c>
      <c r="E19">
        <v>0.034666</v>
      </c>
      <c r="F19">
        <v>0.040395</v>
      </c>
      <c r="G19">
        <v>0.050739</v>
      </c>
    </row>
    <row r="20" spans="1:7">
      <c r="A20" t="s">
        <v>23</v>
      </c>
      <c r="B20">
        <v>0.056049</v>
      </c>
      <c r="C20">
        <v>0.066159</v>
      </c>
      <c r="D20">
        <v>0.035469</v>
      </c>
      <c r="E20">
        <v>0.04387</v>
      </c>
      <c r="F20">
        <v>0.046093</v>
      </c>
      <c r="G20">
        <v>0.055644</v>
      </c>
    </row>
    <row r="21" spans="1:7">
      <c r="A21" s="3" t="s">
        <v>24</v>
      </c>
      <c r="B21">
        <f t="shared" ref="B21:G21" si="0">AVERAGE(B3:B20)</f>
        <v>0.0446797777777778</v>
      </c>
      <c r="C21">
        <f t="shared" si="0"/>
        <v>0.0569896111111111</v>
      </c>
      <c r="D21">
        <f t="shared" si="0"/>
        <v>0.0331245</v>
      </c>
      <c r="E21">
        <f t="shared" si="0"/>
        <v>0.0424769444444444</v>
      </c>
      <c r="F21">
        <f t="shared" si="0"/>
        <v>0.0406534444444444</v>
      </c>
      <c r="G21">
        <f t="shared" si="0"/>
        <v>0.0496522777777778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F20" sqref="F20"/>
    </sheetView>
  </sheetViews>
  <sheetFormatPr defaultColWidth="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26</v>
      </c>
      <c r="B3" s="2">
        <v>0.031532</v>
      </c>
      <c r="C3" s="2">
        <v>0.041062</v>
      </c>
      <c r="D3" s="2">
        <v>0.03106</v>
      </c>
      <c r="E3" s="2">
        <v>0.040307</v>
      </c>
      <c r="F3" s="2">
        <v>0.032488</v>
      </c>
      <c r="G3" s="2">
        <v>0.038012</v>
      </c>
    </row>
    <row r="4" spans="1:7">
      <c r="A4" t="s">
        <v>27</v>
      </c>
      <c r="B4" s="2">
        <v>0.017907</v>
      </c>
      <c r="C4" s="2">
        <v>0.023911</v>
      </c>
      <c r="D4" s="2">
        <v>0.016978</v>
      </c>
      <c r="E4" s="2">
        <v>0.029823</v>
      </c>
      <c r="F4" s="2">
        <v>0.02496</v>
      </c>
      <c r="G4" s="2">
        <v>0.031248</v>
      </c>
    </row>
    <row r="5" spans="1:7">
      <c r="A5" t="s">
        <v>28</v>
      </c>
      <c r="B5" s="2">
        <v>0.026233</v>
      </c>
      <c r="C5" s="2">
        <v>0.03382</v>
      </c>
      <c r="D5" s="2">
        <v>0.02346</v>
      </c>
      <c r="E5" s="2">
        <v>0.034362</v>
      </c>
      <c r="F5" s="2">
        <v>0.03225</v>
      </c>
      <c r="G5" s="2">
        <v>0.03822</v>
      </c>
    </row>
    <row r="6" spans="1:7">
      <c r="A6" t="s">
        <v>29</v>
      </c>
      <c r="B6" s="2">
        <v>0.01902</v>
      </c>
      <c r="C6" s="2">
        <v>0.025512</v>
      </c>
      <c r="D6" s="2">
        <v>0.024705</v>
      </c>
      <c r="E6" s="2">
        <v>0.034782</v>
      </c>
      <c r="F6" s="2">
        <v>0.026724</v>
      </c>
      <c r="G6" s="2">
        <v>0.03489</v>
      </c>
    </row>
    <row r="7" spans="1:7">
      <c r="A7" t="s">
        <v>30</v>
      </c>
      <c r="B7" s="2">
        <v>0.064321</v>
      </c>
      <c r="C7" s="2">
        <v>0.07905</v>
      </c>
      <c r="D7" s="2">
        <v>0.04144</v>
      </c>
      <c r="E7" s="2">
        <v>0.050377</v>
      </c>
      <c r="F7" s="2">
        <v>0.068757</v>
      </c>
      <c r="G7" s="2">
        <v>0.079405</v>
      </c>
    </row>
    <row r="8" spans="1:7">
      <c r="A8" t="s">
        <v>31</v>
      </c>
      <c r="B8" s="2">
        <v>0.023997</v>
      </c>
      <c r="C8" s="2">
        <v>0.033017</v>
      </c>
      <c r="D8" s="2">
        <v>0.030591</v>
      </c>
      <c r="E8" s="2">
        <v>0.044397</v>
      </c>
      <c r="F8" s="2">
        <v>0.025391</v>
      </c>
      <c r="G8" s="2">
        <v>0.030895</v>
      </c>
    </row>
    <row r="9" spans="1:7">
      <c r="A9" t="s">
        <v>32</v>
      </c>
      <c r="B9" s="2">
        <v>0.02189</v>
      </c>
      <c r="C9" s="2">
        <v>0.031942</v>
      </c>
      <c r="D9" s="2">
        <v>0.02307</v>
      </c>
      <c r="E9" s="2">
        <v>0.032975</v>
      </c>
      <c r="F9" s="2">
        <v>0.032864</v>
      </c>
      <c r="G9" s="2">
        <v>0.03948</v>
      </c>
    </row>
    <row r="10" spans="1:7">
      <c r="A10" t="s">
        <v>33</v>
      </c>
      <c r="B10" s="2">
        <v>0.128685</v>
      </c>
      <c r="C10" s="2">
        <v>0.169158</v>
      </c>
      <c r="D10" s="2">
        <v>0.055774</v>
      </c>
      <c r="E10" s="2">
        <v>0.070305</v>
      </c>
      <c r="F10" s="2">
        <v>0.097567</v>
      </c>
      <c r="G10" s="2">
        <v>0.102664</v>
      </c>
    </row>
    <row r="11" spans="1:7">
      <c r="A11" t="s">
        <v>34</v>
      </c>
      <c r="B11" s="2">
        <v>0.036479</v>
      </c>
      <c r="C11" s="2">
        <v>0.056464</v>
      </c>
      <c r="D11" s="2">
        <v>0.029967</v>
      </c>
      <c r="E11" s="2">
        <v>0.044701</v>
      </c>
      <c r="F11" s="2">
        <v>0.034816</v>
      </c>
      <c r="G11" s="2">
        <v>0.050386</v>
      </c>
    </row>
    <row r="12" spans="1:7">
      <c r="A12" t="s">
        <v>35</v>
      </c>
      <c r="B12" s="2">
        <v>0.030022</v>
      </c>
      <c r="C12" s="2">
        <v>0.038711</v>
      </c>
      <c r="D12" s="2">
        <v>0.034426</v>
      </c>
      <c r="E12" s="2">
        <v>0.042016</v>
      </c>
      <c r="F12" s="2">
        <v>0.04956</v>
      </c>
      <c r="G12" s="2">
        <v>0.056752</v>
      </c>
    </row>
    <row r="13" spans="1:7">
      <c r="A13" t="s">
        <v>36</v>
      </c>
      <c r="B13" s="2">
        <v>0.041871</v>
      </c>
      <c r="C13" s="2">
        <v>0.052839</v>
      </c>
      <c r="D13" s="2">
        <v>0.026622</v>
      </c>
      <c r="E13" s="2">
        <v>0.034668</v>
      </c>
      <c r="F13" s="2">
        <v>0.071583</v>
      </c>
      <c r="G13" s="2">
        <v>0.08005</v>
      </c>
    </row>
    <row r="14" spans="1:7">
      <c r="A14" t="s">
        <v>37</v>
      </c>
      <c r="B14" s="2">
        <v>0.036355</v>
      </c>
      <c r="C14" s="2">
        <v>0.051845</v>
      </c>
      <c r="D14" s="2">
        <v>0.03768</v>
      </c>
      <c r="E14" s="2">
        <v>0.054092</v>
      </c>
      <c r="F14" s="2">
        <v>0.026483</v>
      </c>
      <c r="G14" s="2">
        <v>0.031666</v>
      </c>
    </row>
    <row r="15" spans="1:7">
      <c r="A15" t="s">
        <v>38</v>
      </c>
      <c r="B15" s="2">
        <v>0.029931</v>
      </c>
      <c r="C15" s="2">
        <v>0.047796</v>
      </c>
      <c r="D15" s="2">
        <v>0.043107</v>
      </c>
      <c r="E15" s="2">
        <v>0.058634</v>
      </c>
      <c r="F15" s="2">
        <v>0.03266</v>
      </c>
      <c r="G15" s="2">
        <v>0.043443</v>
      </c>
    </row>
    <row r="16" spans="1:7">
      <c r="A16" t="s">
        <v>39</v>
      </c>
      <c r="B16" s="2">
        <v>0.044316</v>
      </c>
      <c r="C16" s="2">
        <v>0.057232</v>
      </c>
      <c r="D16" s="2">
        <v>0.03948</v>
      </c>
      <c r="E16" s="2">
        <v>0.050099</v>
      </c>
      <c r="F16" s="2">
        <v>0.042836</v>
      </c>
      <c r="G16" s="2">
        <v>0.054121</v>
      </c>
    </row>
    <row r="17" spans="1:7">
      <c r="A17" t="s">
        <v>40</v>
      </c>
      <c r="B17" s="2">
        <v>0.022671</v>
      </c>
      <c r="C17" s="2">
        <v>0.028713</v>
      </c>
      <c r="D17" s="2">
        <v>0.018737</v>
      </c>
      <c r="E17" s="2">
        <v>0.030029</v>
      </c>
      <c r="F17" s="2">
        <v>0.026078</v>
      </c>
      <c r="G17" s="2">
        <v>0.032756</v>
      </c>
    </row>
    <row r="18" spans="1:7">
      <c r="A18" t="s">
        <v>41</v>
      </c>
      <c r="B18" s="2">
        <v>0.06253</v>
      </c>
      <c r="C18" s="2">
        <v>0.080527</v>
      </c>
      <c r="D18" s="2">
        <v>0.050466</v>
      </c>
      <c r="E18" s="2">
        <v>0.063071</v>
      </c>
      <c r="F18" s="2">
        <v>0.073513</v>
      </c>
      <c r="G18" s="2">
        <v>0.0855</v>
      </c>
    </row>
    <row r="19" spans="1:7">
      <c r="A19" t="s">
        <v>42</v>
      </c>
      <c r="B19" s="2">
        <v>0.500018</v>
      </c>
      <c r="C19" s="2">
        <v>0.594373</v>
      </c>
      <c r="D19" s="2">
        <v>0.053257</v>
      </c>
      <c r="E19" s="2">
        <v>0.066056</v>
      </c>
      <c r="F19" s="2">
        <v>0.125146</v>
      </c>
      <c r="G19" s="2">
        <v>0.140761</v>
      </c>
    </row>
    <row r="20" spans="1:7">
      <c r="A20" t="s">
        <v>43</v>
      </c>
      <c r="B20" s="2">
        <v>0.035812</v>
      </c>
      <c r="C20" s="2">
        <v>0.060672</v>
      </c>
      <c r="D20" s="2">
        <v>0.035804</v>
      </c>
      <c r="E20" s="2">
        <v>0.054072</v>
      </c>
      <c r="F20" s="2">
        <v>0.040136</v>
      </c>
      <c r="G20" s="2">
        <v>0.06198</v>
      </c>
    </row>
    <row r="21" spans="1:7">
      <c r="A21" t="s">
        <v>44</v>
      </c>
      <c r="B21" s="2">
        <v>0.036995</v>
      </c>
      <c r="C21" s="2">
        <v>0.048178</v>
      </c>
      <c r="D21" s="2">
        <v>0.024635</v>
      </c>
      <c r="E21" s="2">
        <v>0.029897</v>
      </c>
      <c r="F21" s="2">
        <v>0.05118</v>
      </c>
      <c r="G21" s="2">
        <v>0.057339</v>
      </c>
    </row>
    <row r="22" spans="1:7">
      <c r="A22" t="s">
        <v>45</v>
      </c>
      <c r="B22" s="2">
        <v>0.02918</v>
      </c>
      <c r="C22" s="2">
        <v>0.03718</v>
      </c>
      <c r="D22" s="2">
        <v>0.027818</v>
      </c>
      <c r="E22" s="2">
        <v>0.043759</v>
      </c>
      <c r="F22" s="2">
        <v>0.0365</v>
      </c>
      <c r="G22" s="2">
        <v>0.044376</v>
      </c>
    </row>
    <row r="23" spans="1:7">
      <c r="A23" t="s">
        <v>46</v>
      </c>
      <c r="B23" s="2">
        <v>0.030167</v>
      </c>
      <c r="C23" s="2">
        <v>0.037962</v>
      </c>
      <c r="D23" s="2">
        <v>0.033191</v>
      </c>
      <c r="E23" s="2">
        <v>0.045654</v>
      </c>
      <c r="F23" s="2">
        <v>0.054335</v>
      </c>
      <c r="G23" s="2">
        <v>0.058835</v>
      </c>
    </row>
    <row r="24" spans="1:7">
      <c r="A24" s="3" t="s">
        <v>24</v>
      </c>
      <c r="B24">
        <f t="shared" ref="B24:G24" si="0">AVERAGE(B3:B23)</f>
        <v>0.0604729523809524</v>
      </c>
      <c r="C24">
        <f t="shared" si="0"/>
        <v>0.0776173333333333</v>
      </c>
      <c r="D24">
        <f t="shared" si="0"/>
        <v>0.0334413333333333</v>
      </c>
      <c r="E24">
        <f t="shared" si="0"/>
        <v>0.0454321904761905</v>
      </c>
      <c r="F24">
        <f t="shared" si="0"/>
        <v>0.0478965238095238</v>
      </c>
      <c r="G24">
        <f t="shared" si="0"/>
        <v>0.056799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selection activeCell="F3" sqref="F3:G4"/>
    </sheetView>
  </sheetViews>
  <sheetFormatPr defaultColWidth="9" defaultRowHeight="14.4" outlineLevelRow="4" outlineLevelCol="6"/>
  <cols>
    <col min="2" max="2" width="10.6666666666667"/>
    <col min="3" max="4" width="9.66666666666667"/>
    <col min="5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47</v>
      </c>
      <c r="B3" s="2">
        <v>0.03537</v>
      </c>
      <c r="C3" s="2">
        <v>0.054015</v>
      </c>
      <c r="D3" s="2">
        <v>0.04049</v>
      </c>
      <c r="E3" s="2">
        <v>0.0494</v>
      </c>
      <c r="F3" s="2">
        <v>0.06107</v>
      </c>
      <c r="G3" s="2">
        <v>0.07008</v>
      </c>
    </row>
    <row r="4" spans="1:7">
      <c r="A4" t="s">
        <v>48</v>
      </c>
      <c r="B4" s="2">
        <v>0.056445</v>
      </c>
      <c r="C4" s="2">
        <v>0.072591</v>
      </c>
      <c r="D4" s="2">
        <v>0.02309</v>
      </c>
      <c r="E4" s="2">
        <v>0.03175</v>
      </c>
      <c r="F4" s="2">
        <v>0.02525</v>
      </c>
      <c r="G4" s="2">
        <v>0.03228</v>
      </c>
    </row>
    <row r="5" spans="1:7">
      <c r="A5" s="3" t="s">
        <v>24</v>
      </c>
      <c r="B5">
        <f t="shared" ref="B5:G5" si="0">AVERAGE(B3:B4)</f>
        <v>0.0459075</v>
      </c>
      <c r="C5">
        <f t="shared" si="0"/>
        <v>0.063303</v>
      </c>
      <c r="D5">
        <f t="shared" si="0"/>
        <v>0.03179</v>
      </c>
      <c r="E5">
        <f t="shared" si="0"/>
        <v>0.040575</v>
      </c>
      <c r="F5">
        <f t="shared" si="0"/>
        <v>0.04316</v>
      </c>
      <c r="G5">
        <f t="shared" si="0"/>
        <v>0.05118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N8" sqref="N8"/>
    </sheetView>
  </sheetViews>
  <sheetFormatPr defaultColWidth="8.88888888888889" defaultRowHeight="14.4" outlineLevelCol="6"/>
  <cols>
    <col min="2" max="3" width="12.8888888888889"/>
    <col min="4" max="4" width="10.6666666666667"/>
    <col min="5" max="5" width="11.7777777777778"/>
    <col min="6" max="6" width="12.8888888888889"/>
    <col min="7" max="7" width="11.7777777777778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49</v>
      </c>
      <c r="B3">
        <v>0.04831</v>
      </c>
      <c r="C3">
        <v>0.06131</v>
      </c>
      <c r="D3">
        <v>0.04637</v>
      </c>
      <c r="E3">
        <v>0.06189</v>
      </c>
      <c r="F3">
        <v>0.07321</v>
      </c>
      <c r="G3">
        <v>0.08742</v>
      </c>
    </row>
    <row r="4" spans="1:7">
      <c r="A4" t="s">
        <v>50</v>
      </c>
      <c r="B4">
        <v>0.05633</v>
      </c>
      <c r="C4">
        <v>0.06739</v>
      </c>
      <c r="D4">
        <v>0.04907</v>
      </c>
      <c r="E4">
        <v>0.06269</v>
      </c>
      <c r="F4">
        <v>0.05827</v>
      </c>
      <c r="G4">
        <v>0.0761</v>
      </c>
    </row>
    <row r="5" spans="1:7">
      <c r="A5" t="s">
        <v>51</v>
      </c>
      <c r="B5">
        <v>0.04566</v>
      </c>
      <c r="C5">
        <v>0.05934</v>
      </c>
      <c r="D5">
        <v>0.03675</v>
      </c>
      <c r="E5">
        <v>0.04291</v>
      </c>
      <c r="F5">
        <v>0.1065</v>
      </c>
      <c r="G5">
        <v>0.1109</v>
      </c>
    </row>
    <row r="6" spans="1:7">
      <c r="A6" t="s">
        <v>52</v>
      </c>
      <c r="B6">
        <v>0.0508</v>
      </c>
      <c r="C6">
        <v>0.06222</v>
      </c>
      <c r="D6">
        <v>0.05061</v>
      </c>
      <c r="E6">
        <v>0.06749</v>
      </c>
      <c r="F6">
        <v>0.05164</v>
      </c>
      <c r="G6">
        <v>0.06757</v>
      </c>
    </row>
    <row r="7" spans="1:7">
      <c r="A7" t="s">
        <v>53</v>
      </c>
      <c r="B7">
        <v>0.05788</v>
      </c>
      <c r="C7">
        <v>0.07343</v>
      </c>
      <c r="D7">
        <v>0.04552</v>
      </c>
      <c r="E7">
        <v>0.05677</v>
      </c>
      <c r="F7">
        <v>0.05214</v>
      </c>
      <c r="G7">
        <v>0.0644</v>
      </c>
    </row>
    <row r="8" spans="1:7">
      <c r="A8" t="s">
        <v>54</v>
      </c>
      <c r="B8">
        <v>0.0404</v>
      </c>
      <c r="C8">
        <v>0.05301</v>
      </c>
      <c r="D8">
        <v>0.03292</v>
      </c>
      <c r="E8">
        <v>0.04488</v>
      </c>
      <c r="F8">
        <v>0.04557</v>
      </c>
      <c r="G8">
        <v>0.05702</v>
      </c>
    </row>
    <row r="9" spans="1:7">
      <c r="A9" t="s">
        <v>55</v>
      </c>
      <c r="B9">
        <v>0.04031</v>
      </c>
      <c r="C9">
        <v>0.05467</v>
      </c>
      <c r="D9">
        <v>0.04291</v>
      </c>
      <c r="E9">
        <v>0.05595</v>
      </c>
      <c r="F9">
        <v>0.05022</v>
      </c>
      <c r="G9">
        <v>0.06527</v>
      </c>
    </row>
    <row r="10" spans="1:7">
      <c r="A10" t="s">
        <v>56</v>
      </c>
      <c r="B10">
        <v>0.05475</v>
      </c>
      <c r="C10">
        <v>0.06658</v>
      </c>
      <c r="D10">
        <v>0.04594</v>
      </c>
      <c r="E10">
        <v>0.05584</v>
      </c>
      <c r="F10">
        <v>0.04182</v>
      </c>
      <c r="G10">
        <v>0.05284</v>
      </c>
    </row>
    <row r="11" spans="1:7">
      <c r="A11" s="3" t="s">
        <v>24</v>
      </c>
      <c r="B11">
        <f t="shared" ref="B11:G11" si="0">AVERAGE(B3:B10)</f>
        <v>0.049305</v>
      </c>
      <c r="C11">
        <f t="shared" si="0"/>
        <v>0.06224375</v>
      </c>
      <c r="D11">
        <f t="shared" si="0"/>
        <v>0.04376125</v>
      </c>
      <c r="E11">
        <f t="shared" si="0"/>
        <v>0.0560525</v>
      </c>
      <c r="F11">
        <f t="shared" si="0"/>
        <v>0.05992125</v>
      </c>
      <c r="G11">
        <f t="shared" si="0"/>
        <v>0.07269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K16" sqref="K16"/>
    </sheetView>
  </sheetViews>
  <sheetFormatPr defaultColWidth="8.8888888888888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57</v>
      </c>
      <c r="B3" s="2">
        <v>0.035919</v>
      </c>
      <c r="C3" s="2">
        <v>0.048016</v>
      </c>
      <c r="D3" s="2">
        <v>0.02846</v>
      </c>
      <c r="E3" s="2">
        <v>0.041453</v>
      </c>
      <c r="F3" s="2">
        <v>0.039449</v>
      </c>
      <c r="G3" s="2">
        <v>0.054895</v>
      </c>
    </row>
    <row r="4" spans="1:7">
      <c r="A4" t="s">
        <v>58</v>
      </c>
      <c r="B4" s="2">
        <v>0.023859</v>
      </c>
      <c r="C4" s="2">
        <v>0.033104</v>
      </c>
      <c r="D4" s="2">
        <v>0.019039</v>
      </c>
      <c r="E4" s="2">
        <v>0.028297</v>
      </c>
      <c r="F4" s="2">
        <v>0.020406</v>
      </c>
      <c r="G4" s="2">
        <v>0.027702</v>
      </c>
    </row>
    <row r="5" spans="1:7">
      <c r="A5" t="s">
        <v>59</v>
      </c>
      <c r="B5" s="2">
        <v>0.042859</v>
      </c>
      <c r="C5" s="2">
        <v>0.056503</v>
      </c>
      <c r="D5" s="2">
        <v>0.025488</v>
      </c>
      <c r="E5" s="2">
        <v>0.035421</v>
      </c>
      <c r="F5" s="2">
        <v>0.042856</v>
      </c>
      <c r="G5" s="2">
        <v>0.059083</v>
      </c>
    </row>
    <row r="6" spans="1:7">
      <c r="A6" t="s">
        <v>60</v>
      </c>
      <c r="B6" s="2">
        <v>0.045989</v>
      </c>
      <c r="C6" s="2">
        <v>0.064431</v>
      </c>
      <c r="D6" s="2">
        <v>0.035808</v>
      </c>
      <c r="E6" s="2">
        <v>0.050664</v>
      </c>
      <c r="F6" s="2">
        <v>0.047154</v>
      </c>
      <c r="G6" s="2">
        <v>0.063827</v>
      </c>
    </row>
    <row r="7" spans="1:7">
      <c r="A7" t="s">
        <v>61</v>
      </c>
      <c r="B7" s="2">
        <v>0.03498</v>
      </c>
      <c r="C7" s="2">
        <v>0.047464</v>
      </c>
      <c r="D7" s="2">
        <v>0.023214</v>
      </c>
      <c r="E7" s="2">
        <v>0.031548</v>
      </c>
      <c r="F7" s="2">
        <v>0.02619</v>
      </c>
      <c r="G7" s="2">
        <v>0.034786</v>
      </c>
    </row>
    <row r="8" spans="1:7">
      <c r="A8" t="s">
        <v>62</v>
      </c>
      <c r="B8" s="2">
        <v>0.052362</v>
      </c>
      <c r="C8" s="2">
        <v>0.074384</v>
      </c>
      <c r="D8" s="2">
        <v>0.04749</v>
      </c>
      <c r="E8" s="2">
        <v>0.066598</v>
      </c>
      <c r="F8" s="2">
        <v>0.057037</v>
      </c>
      <c r="G8" s="2">
        <v>0.077642</v>
      </c>
    </row>
    <row r="9" spans="1:7">
      <c r="A9" t="s">
        <v>63</v>
      </c>
      <c r="B9" s="2">
        <v>0.035215</v>
      </c>
      <c r="C9" s="2">
        <v>0.051146</v>
      </c>
      <c r="D9" s="2">
        <v>0.026572</v>
      </c>
      <c r="E9" s="2">
        <v>0.035945</v>
      </c>
      <c r="F9" s="2">
        <v>0.033167</v>
      </c>
      <c r="G9" s="2">
        <v>0.043334</v>
      </c>
    </row>
    <row r="10" spans="1:7">
      <c r="A10" t="s">
        <v>64</v>
      </c>
      <c r="B10" s="2">
        <v>0.020449</v>
      </c>
      <c r="C10" s="2">
        <v>0.027378</v>
      </c>
      <c r="D10" s="2">
        <v>0.020483</v>
      </c>
      <c r="E10" s="2">
        <v>0.026237</v>
      </c>
      <c r="F10" s="2">
        <v>0.01859</v>
      </c>
      <c r="G10" s="2">
        <v>0.024042</v>
      </c>
    </row>
    <row r="11" spans="1:7">
      <c r="A11" t="s">
        <v>65</v>
      </c>
      <c r="B11" s="2">
        <v>0.053296</v>
      </c>
      <c r="C11" s="2">
        <v>0.075381</v>
      </c>
      <c r="D11" s="2">
        <v>0.054664</v>
      </c>
      <c r="E11" s="2">
        <v>0.079467</v>
      </c>
      <c r="F11" s="2">
        <v>0.053442</v>
      </c>
      <c r="G11" s="2">
        <v>0.07391</v>
      </c>
    </row>
    <row r="12" spans="1:7">
      <c r="A12" t="s">
        <v>66</v>
      </c>
      <c r="B12" s="2">
        <v>0.043958</v>
      </c>
      <c r="C12" s="2">
        <v>0.060037</v>
      </c>
      <c r="D12" s="2">
        <v>0.039983</v>
      </c>
      <c r="E12" s="2">
        <v>0.056924</v>
      </c>
      <c r="F12" s="2">
        <v>0.043078</v>
      </c>
      <c r="G12" s="2">
        <v>0.056267</v>
      </c>
    </row>
    <row r="13" spans="1:7">
      <c r="A13" t="s">
        <v>67</v>
      </c>
      <c r="B13" s="2">
        <v>0.030036</v>
      </c>
      <c r="C13" s="2">
        <v>0.038803</v>
      </c>
      <c r="D13" s="2">
        <v>0.027363</v>
      </c>
      <c r="E13" s="2">
        <v>0.036653</v>
      </c>
      <c r="F13" s="2">
        <v>0.030871</v>
      </c>
      <c r="G13" s="2">
        <v>0.040926</v>
      </c>
    </row>
    <row r="14" spans="1:7">
      <c r="A14" t="s">
        <v>68</v>
      </c>
      <c r="B14" s="2">
        <v>0.041229</v>
      </c>
      <c r="C14" s="2">
        <v>0.055558</v>
      </c>
      <c r="D14" s="2">
        <v>0.032382</v>
      </c>
      <c r="E14" s="2">
        <v>0.04504</v>
      </c>
      <c r="F14" s="2">
        <v>0.048987</v>
      </c>
      <c r="G14" s="2">
        <v>0.06556</v>
      </c>
    </row>
    <row r="15" spans="1:7">
      <c r="A15" t="s">
        <v>69</v>
      </c>
      <c r="B15" s="2">
        <v>0.047328</v>
      </c>
      <c r="C15" s="2">
        <v>0.063974</v>
      </c>
      <c r="D15" s="2">
        <v>0.027564</v>
      </c>
      <c r="E15" s="2">
        <v>0.038202</v>
      </c>
      <c r="F15" s="2">
        <v>0.043308</v>
      </c>
      <c r="G15" s="2">
        <v>0.059439</v>
      </c>
    </row>
    <row r="16" spans="1:7">
      <c r="A16" t="s">
        <v>70</v>
      </c>
      <c r="B16" s="2">
        <v>0.044991</v>
      </c>
      <c r="C16" s="2">
        <v>0.06552</v>
      </c>
      <c r="D16" s="2">
        <v>0.038961</v>
      </c>
      <c r="E16" s="2">
        <v>0.049127</v>
      </c>
      <c r="F16" s="2">
        <v>0.047341</v>
      </c>
      <c r="G16" s="2">
        <v>0.063196</v>
      </c>
    </row>
    <row r="17" spans="1:7">
      <c r="A17" t="s">
        <v>71</v>
      </c>
      <c r="B17" s="2">
        <v>0.059684</v>
      </c>
      <c r="C17" s="2">
        <v>0.08059</v>
      </c>
      <c r="D17" s="2">
        <v>0.053315</v>
      </c>
      <c r="E17" s="2">
        <v>0.074504</v>
      </c>
      <c r="F17" s="2">
        <v>0.052914</v>
      </c>
      <c r="G17" s="2">
        <v>0.070533</v>
      </c>
    </row>
    <row r="18" spans="1:7">
      <c r="A18" t="s">
        <v>72</v>
      </c>
      <c r="B18" s="2">
        <v>0.041538</v>
      </c>
      <c r="C18" s="2">
        <v>0.054626</v>
      </c>
      <c r="D18" s="2">
        <v>0.024383</v>
      </c>
      <c r="E18" s="2">
        <v>0.031729</v>
      </c>
      <c r="F18" s="2">
        <v>0.039627</v>
      </c>
      <c r="G18" s="2">
        <v>0.052148</v>
      </c>
    </row>
    <row r="19" spans="1:7">
      <c r="A19" t="s">
        <v>73</v>
      </c>
      <c r="B19" s="2">
        <v>0.046133</v>
      </c>
      <c r="C19" s="2">
        <v>0.068809</v>
      </c>
      <c r="D19" s="2">
        <v>0.035096</v>
      </c>
      <c r="E19" s="2">
        <v>0.050705</v>
      </c>
      <c r="F19" s="2">
        <v>0.037979</v>
      </c>
      <c r="G19" s="2">
        <v>0.052371</v>
      </c>
    </row>
    <row r="20" spans="1:7">
      <c r="A20" t="s">
        <v>74</v>
      </c>
      <c r="B20" s="2">
        <v>0.040791</v>
      </c>
      <c r="C20" s="2">
        <v>0.056871</v>
      </c>
      <c r="D20" s="2">
        <v>0.034298</v>
      </c>
      <c r="E20" s="2">
        <v>0.046969</v>
      </c>
      <c r="F20" s="2">
        <v>0.041984</v>
      </c>
      <c r="G20" s="2">
        <v>0.05698</v>
      </c>
    </row>
    <row r="21" spans="1:7">
      <c r="A21" t="s">
        <v>75</v>
      </c>
      <c r="B21" s="2">
        <v>0.043636</v>
      </c>
      <c r="C21" s="2">
        <v>0.059821</v>
      </c>
      <c r="D21" s="2">
        <v>0.030802</v>
      </c>
      <c r="E21" s="2">
        <v>0.04219</v>
      </c>
      <c r="F21" s="2">
        <v>0.04289</v>
      </c>
      <c r="G21" s="2">
        <v>0.05716</v>
      </c>
    </row>
    <row r="22" spans="1:7">
      <c r="A22" s="3" t="s">
        <v>24</v>
      </c>
      <c r="B22">
        <f t="shared" ref="B22:G22" si="0">AVERAGE(B3:B21)</f>
        <v>0.0412764210526316</v>
      </c>
      <c r="C22">
        <f t="shared" si="0"/>
        <v>0.0569692631578947</v>
      </c>
      <c r="D22">
        <f t="shared" si="0"/>
        <v>0.0329139473684211</v>
      </c>
      <c r="E22">
        <f t="shared" si="0"/>
        <v>0.045667</v>
      </c>
      <c r="F22">
        <f t="shared" si="0"/>
        <v>0.0403826315789474</v>
      </c>
      <c r="G22">
        <f t="shared" si="0"/>
        <v>0.0544105789473684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L14" sqref="L14"/>
    </sheetView>
  </sheetViews>
  <sheetFormatPr defaultColWidth="8.88888888888889" defaultRowHeight="14.4" outlineLevelCol="6"/>
  <cols>
    <col min="2" max="2" width="12.8888888888889"/>
    <col min="3" max="3" width="9.66666666666667"/>
    <col min="4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76</v>
      </c>
      <c r="B3" s="2">
        <v>0.111881</v>
      </c>
      <c r="C3" s="2">
        <v>0.158891</v>
      </c>
      <c r="D3" s="2">
        <v>0.073958</v>
      </c>
      <c r="E3" s="2">
        <v>0.088748</v>
      </c>
      <c r="F3" s="2">
        <v>0.092482</v>
      </c>
      <c r="G3" s="2">
        <v>0.10482</v>
      </c>
    </row>
    <row r="4" spans="1:7">
      <c r="A4" t="s">
        <v>77</v>
      </c>
      <c r="B4" s="2">
        <v>0.03038</v>
      </c>
      <c r="C4" s="2">
        <v>0.0383</v>
      </c>
      <c r="D4" s="2">
        <v>0.028886</v>
      </c>
      <c r="E4" s="2">
        <v>0.035684</v>
      </c>
      <c r="F4" s="2">
        <v>0.023797</v>
      </c>
      <c r="G4" s="2">
        <v>0.030159</v>
      </c>
    </row>
    <row r="5" spans="1:7">
      <c r="A5" t="s">
        <v>78</v>
      </c>
      <c r="B5" s="2">
        <v>0.04221</v>
      </c>
      <c r="C5" s="2">
        <v>0.051074</v>
      </c>
      <c r="D5" s="2">
        <v>0.027919</v>
      </c>
      <c r="E5" s="2">
        <v>0.033852</v>
      </c>
      <c r="F5" s="2">
        <v>0.024536</v>
      </c>
      <c r="G5" s="2">
        <v>0.02964</v>
      </c>
    </row>
    <row r="6" spans="1:7">
      <c r="A6" t="s">
        <v>79</v>
      </c>
      <c r="B6" s="2">
        <v>0.048812</v>
      </c>
      <c r="C6" s="2">
        <v>0.058953</v>
      </c>
      <c r="D6" s="2">
        <v>0.033013</v>
      </c>
      <c r="E6" s="2">
        <v>0.042508</v>
      </c>
      <c r="F6" s="2">
        <v>0.030231</v>
      </c>
      <c r="G6" s="2">
        <v>0.036269</v>
      </c>
    </row>
    <row r="7" spans="1:7">
      <c r="A7" t="s">
        <v>80</v>
      </c>
      <c r="B7" s="2">
        <v>0.045744</v>
      </c>
      <c r="C7" s="2">
        <v>0.058877</v>
      </c>
      <c r="D7" s="2">
        <v>0.025813</v>
      </c>
      <c r="E7" s="2">
        <v>0.032144</v>
      </c>
      <c r="F7" s="2">
        <v>0.031831</v>
      </c>
      <c r="G7" s="2">
        <v>0.038704</v>
      </c>
    </row>
    <row r="8" spans="1:7">
      <c r="A8" t="s">
        <v>81</v>
      </c>
      <c r="B8" s="2">
        <v>0.055694</v>
      </c>
      <c r="C8" s="2">
        <v>0.071923</v>
      </c>
      <c r="D8" s="2">
        <v>0.031346</v>
      </c>
      <c r="E8" s="2">
        <v>0.039886</v>
      </c>
      <c r="F8" s="2">
        <v>0.041703</v>
      </c>
      <c r="G8" s="2">
        <v>0.049987</v>
      </c>
    </row>
    <row r="9" spans="1:7">
      <c r="A9" t="s">
        <v>82</v>
      </c>
      <c r="B9" s="2">
        <v>0.055134</v>
      </c>
      <c r="C9" s="2">
        <v>0.069428</v>
      </c>
      <c r="D9" s="2">
        <v>0.034415</v>
      </c>
      <c r="E9" s="2">
        <v>0.04133</v>
      </c>
      <c r="F9" s="2">
        <v>0.040199</v>
      </c>
      <c r="G9" s="2">
        <v>0.049266</v>
      </c>
    </row>
    <row r="10" spans="1:7">
      <c r="A10" t="s">
        <v>83</v>
      </c>
      <c r="B10" s="2">
        <v>0.074566</v>
      </c>
      <c r="C10" s="2">
        <v>0.088427</v>
      </c>
      <c r="D10" s="2">
        <v>0.061412</v>
      </c>
      <c r="E10" s="2">
        <v>0.073783</v>
      </c>
      <c r="F10" s="2">
        <v>0.049698</v>
      </c>
      <c r="G10" s="2">
        <v>0.059255</v>
      </c>
    </row>
    <row r="11" spans="1:7">
      <c r="A11" t="s">
        <v>84</v>
      </c>
      <c r="B11" s="2">
        <v>0.03661</v>
      </c>
      <c r="C11" s="2">
        <v>0.047075</v>
      </c>
      <c r="D11" s="2">
        <v>0.025461</v>
      </c>
      <c r="E11" s="2">
        <v>0.032917</v>
      </c>
      <c r="F11" s="2">
        <v>0.027475</v>
      </c>
      <c r="G11" s="2">
        <v>0.03509</v>
      </c>
    </row>
    <row r="12" spans="1:7">
      <c r="A12" t="s">
        <v>85</v>
      </c>
      <c r="B12" s="2">
        <v>0.063916</v>
      </c>
      <c r="C12" s="2">
        <v>0.083067</v>
      </c>
      <c r="D12" s="2">
        <v>0.032151</v>
      </c>
      <c r="E12" s="2">
        <v>0.042539</v>
      </c>
      <c r="F12" s="2">
        <v>0.026674</v>
      </c>
      <c r="G12" s="2">
        <v>0.034219</v>
      </c>
    </row>
    <row r="13" spans="1:7">
      <c r="A13" t="s">
        <v>86</v>
      </c>
      <c r="B13" s="2">
        <v>0.045365</v>
      </c>
      <c r="C13" s="2">
        <v>0.062958</v>
      </c>
      <c r="D13" s="2">
        <v>0.025998</v>
      </c>
      <c r="E13" s="2">
        <v>0.033179</v>
      </c>
      <c r="F13" s="2">
        <v>0.034372</v>
      </c>
      <c r="G13" s="2">
        <v>0.042217</v>
      </c>
    </row>
    <row r="14" spans="1:7">
      <c r="A14" t="s">
        <v>87</v>
      </c>
      <c r="B14" s="2">
        <v>0.036592</v>
      </c>
      <c r="C14" s="2">
        <v>0.044336</v>
      </c>
      <c r="D14" s="2">
        <v>0.02063</v>
      </c>
      <c r="E14" s="2">
        <v>0.027014</v>
      </c>
      <c r="F14" s="2">
        <v>0.022825</v>
      </c>
      <c r="G14" s="2">
        <v>0.02882</v>
      </c>
    </row>
    <row r="15" spans="1:7">
      <c r="A15" t="s">
        <v>88</v>
      </c>
      <c r="B15" s="2">
        <v>0.072146</v>
      </c>
      <c r="C15" s="2">
        <v>0.095522</v>
      </c>
      <c r="D15" s="2">
        <v>0.037331</v>
      </c>
      <c r="E15" s="2">
        <v>0.049072</v>
      </c>
      <c r="F15" s="2">
        <v>0.071174</v>
      </c>
      <c r="G15" s="2">
        <v>0.082837</v>
      </c>
    </row>
    <row r="16" spans="1:7">
      <c r="A16" t="s">
        <v>89</v>
      </c>
      <c r="B16" s="2">
        <v>0.041461</v>
      </c>
      <c r="C16" s="2">
        <v>0.055374</v>
      </c>
      <c r="D16" s="2">
        <v>0.027512</v>
      </c>
      <c r="E16" s="2">
        <v>0.034856</v>
      </c>
      <c r="F16" s="2">
        <v>0.042179</v>
      </c>
      <c r="G16" s="2">
        <v>0.049232</v>
      </c>
    </row>
    <row r="17" spans="1:7">
      <c r="A17" s="3" t="s">
        <v>24</v>
      </c>
      <c r="B17">
        <f t="shared" ref="B17:G17" si="0">AVERAGE(B3:B16)</f>
        <v>0.0543222142857143</v>
      </c>
      <c r="C17">
        <f t="shared" si="0"/>
        <v>0.0703003571428572</v>
      </c>
      <c r="D17">
        <f t="shared" si="0"/>
        <v>0.0347032142857143</v>
      </c>
      <c r="E17">
        <f t="shared" si="0"/>
        <v>0.0433937142857143</v>
      </c>
      <c r="F17">
        <f t="shared" si="0"/>
        <v>0.0399411428571429</v>
      </c>
      <c r="G17">
        <f t="shared" si="0"/>
        <v>0.0478939285714286</v>
      </c>
    </row>
    <row r="21" spans="1:1">
      <c r="A21" s="3"/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欧洲</vt:lpstr>
      <vt:lpstr>广东</vt:lpstr>
      <vt:lpstr>印度</vt:lpstr>
      <vt:lpstr>德州</vt:lpstr>
      <vt:lpstr>PJM</vt:lpstr>
      <vt:lpstr>湖南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Lu</dc:creator>
  <cp:lastModifiedBy>冲淡</cp:lastModifiedBy>
  <dcterms:created xsi:type="dcterms:W3CDTF">2023-05-12T11:15:00Z</dcterms:created>
  <dcterms:modified xsi:type="dcterms:W3CDTF">2025-09-05T13:43:35Z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D01A383DF3544A18BF4E428E43030353_12</vt:lpwstr>
  </property>
</Properties>
</file>