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ersonal\博士论文\heatwave load forecasting\generation_data_proportion\"/>
    </mc:Choice>
  </mc:AlternateContent>
  <bookViews>
    <workbookView windowWidth="22188" windowHeight="9060" activeTab="5"/>
  </bookViews>
  <sheets>
    <sheet name="欧洲" sheetId="1" r:id="rId1"/>
    <sheet name="广东" sheetId="2" r:id="rId2"/>
    <sheet name="印度" sheetId="3" r:id="rId3"/>
    <sheet name="德州" sheetId="4" r:id="rId4"/>
    <sheet name="PJM" sheetId="5" r:id="rId5"/>
    <sheet name="湖南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<sst xmlns="http://schemas.openxmlformats.org/spreadsheetml/2006/main" count="112" uniqueCount="88">
  <si>
    <t>Counrty</t>
  </si>
  <si>
    <t>LSTM</t>
  </si>
  <si>
    <t>MAE</t>
  </si>
  <si>
    <t>RMSE</t>
  </si>
  <si>
    <t>Belgium</t>
  </si>
  <si>
    <t>Croatia</t>
  </si>
  <si>
    <t>Denmark</t>
  </si>
  <si>
    <t>Finland</t>
  </si>
  <si>
    <t>France</t>
  </si>
  <si>
    <t>Germany</t>
  </si>
  <si>
    <t>Hungary</t>
  </si>
  <si>
    <t>Ireland</t>
  </si>
  <si>
    <t>Italy</t>
  </si>
  <si>
    <t>Lithuania</t>
  </si>
  <si>
    <t>Latvia</t>
  </si>
  <si>
    <t>Netherlands</t>
  </si>
  <si>
    <t>Norway</t>
  </si>
  <si>
    <t>Poland</t>
  </si>
  <si>
    <t>Romania</t>
  </si>
  <si>
    <t>Slovenia</t>
  </si>
  <si>
    <t>Sweden</t>
  </si>
  <si>
    <t>Switzerland</t>
  </si>
  <si>
    <t>Average</t>
  </si>
  <si>
    <t>Region</t>
  </si>
  <si>
    <t>Chaozhou</t>
  </si>
  <si>
    <t>Dongguan</t>
  </si>
  <si>
    <t>Foshan</t>
  </si>
  <si>
    <t>Guangzhou</t>
  </si>
  <si>
    <t>Heyuan</t>
  </si>
  <si>
    <t>Huizhou</t>
  </si>
  <si>
    <t>Jiangmen</t>
  </si>
  <si>
    <t>Jieyang</t>
  </si>
  <si>
    <t>Maoming</t>
  </si>
  <si>
    <t>Meizhou</t>
  </si>
  <si>
    <t>Qingyuan</t>
  </si>
  <si>
    <t>Shantou</t>
  </si>
  <si>
    <t>Shanwei</t>
  </si>
  <si>
    <t>Shaoguan</t>
  </si>
  <si>
    <t>Shenzhen</t>
  </si>
  <si>
    <t>Yangjiang</t>
  </si>
  <si>
    <t>Yunfu</t>
  </si>
  <si>
    <t>Zhanjiang</t>
  </si>
  <si>
    <t>Zhaoqing</t>
  </si>
  <si>
    <t>Zhongshan</t>
  </si>
  <si>
    <t>Zhuhai</t>
  </si>
  <si>
    <t>Delhi</t>
  </si>
  <si>
    <t>Maharashtra</t>
  </si>
  <si>
    <t>COAST</t>
  </si>
  <si>
    <t>EAST</t>
  </si>
  <si>
    <t>FAR WEST</t>
  </si>
  <si>
    <t>NORTH</t>
  </si>
  <si>
    <t>NORTH-C</t>
  </si>
  <si>
    <t>SOUTH-C</t>
  </si>
  <si>
    <t>SOUTHERN</t>
  </si>
  <si>
    <t>WEST</t>
  </si>
  <si>
    <t>Allegheny Power System</t>
  </si>
  <si>
    <t>American Electric Power Co., Inc - Appalachian</t>
  </si>
  <si>
    <t>Atlantic Electric Company</t>
  </si>
  <si>
    <t>Baltimore Gas and Electric Company</t>
  </si>
  <si>
    <t>ComEd</t>
  </si>
  <si>
    <t>Dayton Power and Light Company</t>
  </si>
  <si>
    <t>Delmarva Power and Light</t>
  </si>
  <si>
    <t>Dominion Energy</t>
  </si>
  <si>
    <t>Duke Energy Ohio</t>
  </si>
  <si>
    <t>Duquesne Light</t>
  </si>
  <si>
    <t>East Kentucky Power Coop</t>
  </si>
  <si>
    <t>First Energy - Pennsylvania Electric Company</t>
  </si>
  <si>
    <t>Jersey Central Power and Light Company</t>
  </si>
  <si>
    <t>Metropolitan Edison Company</t>
  </si>
  <si>
    <t>Orion Energy</t>
  </si>
  <si>
    <t>Pennsylvania Electric Company</t>
  </si>
  <si>
    <t>Pennsylvania Power and Light Company</t>
  </si>
  <si>
    <t>Potomac Electric Power</t>
  </si>
  <si>
    <t>Public Service Electric and Gas Company</t>
  </si>
  <si>
    <t>Loudi</t>
  </si>
  <si>
    <t>Yueyang</t>
  </si>
  <si>
    <t>Changde</t>
  </si>
  <si>
    <t>Zhangjiajie</t>
  </si>
  <si>
    <t>Huaihua</t>
  </si>
  <si>
    <t>Zhuzhou</t>
  </si>
  <si>
    <t>Yongzhou</t>
  </si>
  <si>
    <t>Xiangtan</t>
  </si>
  <si>
    <t>Xiangxi</t>
  </si>
  <si>
    <t>Yiyang</t>
  </si>
  <si>
    <t>Hengyang</t>
  </si>
  <si>
    <t>Shaoyang</t>
  </si>
  <si>
    <t>Chenzhou</t>
  </si>
  <si>
    <t>Changsha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</si>
</sst>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D1" sqref="D1:G21"/>
    </sheetView>
  </sheetViews>
  <sheetFormatPr defaultColWidth="9" defaultRowHeight="14.4" outlineLevelCol="6"/>
  <cols>
    <col min="2" max="7" width="12.8888888888889"/>
  </cols>
  <sheetData>
    <row r="1" spans="1:7">
      <c r="A1" s="1" t="s">
        <v>0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4</v>
      </c>
      <c r="B3">
        <v>0.044622</v>
      </c>
      <c r="C3">
        <v>0.053185</v>
      </c>
    </row>
    <row r="4" spans="1:7">
      <c r="A4" t="s">
        <v>5</v>
      </c>
      <c r="B4">
        <v>0.052103</v>
      </c>
      <c r="C4">
        <v>0.063507</v>
      </c>
    </row>
    <row r="5" spans="1:7">
      <c r="A5" t="s">
        <v>6</v>
      </c>
      <c r="B5">
        <v>0.025812</v>
      </c>
      <c r="C5">
        <v>0.034978</v>
      </c>
    </row>
    <row r="6" spans="1:7">
      <c r="A6" t="s">
        <v>7</v>
      </c>
      <c r="B6">
        <v>0.023453</v>
      </c>
      <c r="C6">
        <v>0.03059</v>
      </c>
    </row>
    <row r="7" spans="1:7">
      <c r="A7" t="s">
        <v>8</v>
      </c>
      <c r="B7">
        <v>0.026842</v>
      </c>
      <c r="C7">
        <v>0.035107</v>
      </c>
    </row>
    <row r="8" spans="1:7">
      <c r="A8" t="s">
        <v>9</v>
      </c>
      <c r="B8">
        <v>0.024276</v>
      </c>
      <c r="C8">
        <v>0.031905</v>
      </c>
    </row>
    <row r="9" spans="1:7">
      <c r="A9" t="s">
        <v>10</v>
      </c>
      <c r="B9">
        <v>0.019428</v>
      </c>
      <c r="C9">
        <v>0.02392</v>
      </c>
    </row>
    <row r="10" spans="1:7">
      <c r="A10" t="s">
        <v>11</v>
      </c>
      <c r="B10">
        <v>0.060214</v>
      </c>
      <c r="C10">
        <v>0.084488</v>
      </c>
    </row>
    <row r="11" spans="1:7">
      <c r="A11" t="s">
        <v>12</v>
      </c>
      <c r="B11">
        <v>0.021165</v>
      </c>
      <c r="C11">
        <v>0.027553</v>
      </c>
    </row>
    <row r="12" spans="1:7">
      <c r="A12" t="s">
        <v>13</v>
      </c>
      <c r="B12">
        <v>0.048489</v>
      </c>
      <c r="C12">
        <v>0.063055</v>
      </c>
    </row>
    <row r="13" spans="1:7">
      <c r="A13" t="s">
        <v>14</v>
      </c>
      <c r="B13">
        <v>0.025529</v>
      </c>
      <c r="C13">
        <v>0.033914</v>
      </c>
    </row>
    <row r="14" spans="1:7">
      <c r="A14" t="s">
        <v>15</v>
      </c>
      <c r="B14">
        <v>0.031814</v>
      </c>
      <c r="C14">
        <v>0.040708</v>
      </c>
    </row>
    <row r="15" spans="1:7">
      <c r="A15" t="s">
        <v>16</v>
      </c>
      <c r="B15">
        <v>0.033525</v>
      </c>
      <c r="C15">
        <v>0.043195</v>
      </c>
    </row>
    <row r="16" spans="1:7">
      <c r="A16" t="s">
        <v>17</v>
      </c>
      <c r="B16">
        <v>0.021806</v>
      </c>
      <c r="C16">
        <v>0.02677</v>
      </c>
    </row>
    <row r="17" spans="1:3">
      <c r="A17" t="s">
        <v>18</v>
      </c>
      <c r="B17">
        <v>0.031228</v>
      </c>
      <c r="C17">
        <v>0.038534</v>
      </c>
    </row>
    <row r="18" spans="1:3">
      <c r="A18" t="s">
        <v>19</v>
      </c>
      <c r="B18">
        <v>0.043615</v>
      </c>
      <c r="C18">
        <v>0.05464</v>
      </c>
    </row>
    <row r="19" spans="1:3">
      <c r="A19" t="s">
        <v>20</v>
      </c>
      <c r="B19">
        <v>0.026851</v>
      </c>
      <c r="C19">
        <v>0.034666</v>
      </c>
    </row>
    <row r="20" spans="1:3">
      <c r="A20" t="s">
        <v>21</v>
      </c>
      <c r="B20">
        <v>0.035469</v>
      </c>
      <c r="C20">
        <v>0.04387</v>
      </c>
    </row>
    <row r="21" spans="1:3">
      <c r="A21" s="3" t="s">
        <v>22</v>
      </c>
      <c r="B21">
        <f xml:space="preserve">AVERAGE(B3:B20)</f>
        <v>0.0331245</v>
      </c>
      <c r="C21">
        <f xml:space="preserve">AVERAGE(C3:C20)</f>
        <v>0.0424769444444444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D1" sqref="D1:G24"/>
    </sheetView>
  </sheetViews>
  <sheetFormatPr defaultColWidth="9" defaultRowHeight="14.4" outlineLevelCol="6"/>
  <cols>
    <col min="2" max="7" width="12.8888888888889"/>
  </cols>
  <sheetData>
    <row r="1" spans="1:7">
      <c r="A1" s="1" t="s">
        <v>23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24</v>
      </c>
      <c r="B3" s="2">
        <v>0.03106</v>
      </c>
      <c r="C3" s="2">
        <v>0.040307</v>
      </c>
      <c r="D3" s="2"/>
      <c r="E3" s="2"/>
      <c r="F3" s="2"/>
      <c r="G3" s="2"/>
    </row>
    <row r="4" spans="1:7">
      <c r="A4" t="s">
        <v>25</v>
      </c>
      <c r="B4" s="2">
        <v>0.016978</v>
      </c>
      <c r="C4" s="2">
        <v>0.029823</v>
      </c>
      <c r="D4" s="2"/>
      <c r="E4" s="2"/>
      <c r="F4" s="2"/>
      <c r="G4" s="2"/>
    </row>
    <row r="5" spans="1:7">
      <c r="A5" t="s">
        <v>26</v>
      </c>
      <c r="B5" s="2">
        <v>0.02346</v>
      </c>
      <c r="C5" s="2">
        <v>0.034362</v>
      </c>
      <c r="D5" s="2"/>
      <c r="E5" s="2"/>
      <c r="F5" s="2"/>
      <c r="G5" s="2"/>
    </row>
    <row r="6" spans="1:7">
      <c r="A6" t="s">
        <v>27</v>
      </c>
      <c r="B6" s="2">
        <v>0.024705</v>
      </c>
      <c r="C6" s="2">
        <v>0.034782</v>
      </c>
      <c r="D6" s="2"/>
      <c r="E6" s="2"/>
      <c r="F6" s="2"/>
      <c r="G6" s="2"/>
    </row>
    <row r="7" spans="1:7">
      <c r="A7" t="s">
        <v>28</v>
      </c>
      <c r="B7" s="2">
        <v>0.04144</v>
      </c>
      <c r="C7" s="2">
        <v>0.050377</v>
      </c>
      <c r="D7" s="2"/>
      <c r="E7" s="2"/>
      <c r="F7" s="2"/>
      <c r="G7" s="2"/>
    </row>
    <row r="8" spans="1:7">
      <c r="A8" t="s">
        <v>29</v>
      </c>
      <c r="B8" s="2">
        <v>0.030591</v>
      </c>
      <c r="C8" s="2">
        <v>0.044397</v>
      </c>
      <c r="D8" s="2"/>
      <c r="E8" s="2"/>
      <c r="F8" s="2"/>
      <c r="G8" s="2"/>
    </row>
    <row r="9" spans="1:7">
      <c r="A9" t="s">
        <v>30</v>
      </c>
      <c r="B9" s="2">
        <v>0.02307</v>
      </c>
      <c r="C9" s="2">
        <v>0.032975</v>
      </c>
      <c r="D9" s="2"/>
      <c r="E9" s="2"/>
      <c r="F9" s="2"/>
      <c r="G9" s="2"/>
    </row>
    <row r="10" spans="1:7">
      <c r="A10" t="s">
        <v>31</v>
      </c>
      <c r="B10" s="2">
        <v>0.055774</v>
      </c>
      <c r="C10" s="2">
        <v>0.070305</v>
      </c>
      <c r="D10" s="2"/>
      <c r="E10" s="2"/>
      <c r="F10" s="2"/>
      <c r="G10" s="2"/>
    </row>
    <row r="11" spans="1:7">
      <c r="A11" t="s">
        <v>32</v>
      </c>
      <c r="B11" s="2">
        <v>0.029967</v>
      </c>
      <c r="C11" s="2">
        <v>0.044701</v>
      </c>
      <c r="D11" s="2"/>
      <c r="E11" s="2"/>
      <c r="F11" s="2"/>
      <c r="G11" s="2"/>
    </row>
    <row r="12" spans="1:7">
      <c r="A12" t="s">
        <v>33</v>
      </c>
      <c r="B12" s="2">
        <v>0.034426</v>
      </c>
      <c r="C12" s="2">
        <v>0.042016</v>
      </c>
      <c r="D12" s="2"/>
      <c r="E12" s="2"/>
      <c r="F12" s="2"/>
      <c r="G12" s="2"/>
    </row>
    <row r="13" spans="1:7">
      <c r="A13" t="s">
        <v>34</v>
      </c>
      <c r="B13" s="2">
        <v>0.026622</v>
      </c>
      <c r="C13" s="2">
        <v>0.034668</v>
      </c>
      <c r="D13" s="2"/>
      <c r="E13" s="2"/>
      <c r="F13" s="2"/>
      <c r="G13" s="2"/>
    </row>
    <row r="14" spans="1:7">
      <c r="A14" t="s">
        <v>35</v>
      </c>
      <c r="B14" s="2">
        <v>0.03768</v>
      </c>
      <c r="C14" s="2">
        <v>0.054092</v>
      </c>
      <c r="D14" s="2"/>
      <c r="E14" s="2"/>
      <c r="F14" s="2"/>
      <c r="G14" s="2"/>
    </row>
    <row r="15" spans="1:7">
      <c r="A15" t="s">
        <v>36</v>
      </c>
      <c r="B15" s="2">
        <v>0.043107</v>
      </c>
      <c r="C15" s="2">
        <v>0.058634</v>
      </c>
      <c r="D15" s="2"/>
      <c r="E15" s="2"/>
      <c r="F15" s="2"/>
      <c r="G15" s="2"/>
    </row>
    <row r="16" spans="1:7">
      <c r="A16" t="s">
        <v>37</v>
      </c>
      <c r="B16" s="2">
        <v>0.03948</v>
      </c>
      <c r="C16" s="2">
        <v>0.050099</v>
      </c>
      <c r="D16" s="2"/>
      <c r="E16" s="2"/>
      <c r="F16" s="2"/>
      <c r="G16" s="2"/>
    </row>
    <row r="17" spans="1:7">
      <c r="A17" t="s">
        <v>38</v>
      </c>
      <c r="B17" s="2">
        <v>0.018737</v>
      </c>
      <c r="C17" s="2">
        <v>0.030029</v>
      </c>
      <c r="D17" s="2"/>
      <c r="E17" s="2"/>
      <c r="F17" s="2"/>
      <c r="G17" s="2"/>
    </row>
    <row r="18" spans="1:7">
      <c r="A18" t="s">
        <v>39</v>
      </c>
      <c r="B18" s="2">
        <v>0.050466</v>
      </c>
      <c r="C18" s="2">
        <v>0.063071</v>
      </c>
      <c r="D18" s="2"/>
      <c r="E18" s="2"/>
      <c r="F18" s="2"/>
      <c r="G18" s="2"/>
    </row>
    <row r="19" spans="1:7">
      <c r="A19" t="s">
        <v>40</v>
      </c>
      <c r="B19" s="2">
        <v>0.053257</v>
      </c>
      <c r="C19" s="2">
        <v>0.066056</v>
      </c>
      <c r="D19" s="2"/>
      <c r="E19" s="2"/>
      <c r="F19" s="2"/>
      <c r="G19" s="2"/>
    </row>
    <row r="20" spans="1:7">
      <c r="A20" t="s">
        <v>41</v>
      </c>
      <c r="B20" s="2">
        <v>0.035804</v>
      </c>
      <c r="C20" s="2">
        <v>0.054072</v>
      </c>
      <c r="D20" s="2"/>
      <c r="E20" s="2"/>
      <c r="F20" s="2"/>
      <c r="G20" s="2"/>
    </row>
    <row r="21" spans="1:7">
      <c r="A21" t="s">
        <v>42</v>
      </c>
      <c r="B21" s="2">
        <v>0.024635</v>
      </c>
      <c r="C21" s="2">
        <v>0.029897</v>
      </c>
      <c r="D21" s="2"/>
      <c r="E21" s="2"/>
      <c r="F21" s="2"/>
      <c r="G21" s="2"/>
    </row>
    <row r="22" spans="1:7">
      <c r="A22" t="s">
        <v>43</v>
      </c>
      <c r="B22" s="2">
        <v>0.027818</v>
      </c>
      <c r="C22" s="2">
        <v>0.043759</v>
      </c>
      <c r="D22" s="2"/>
      <c r="E22" s="2"/>
      <c r="F22" s="2"/>
      <c r="G22" s="2"/>
    </row>
    <row r="23" spans="1:7">
      <c r="A23" t="s">
        <v>44</v>
      </c>
      <c r="B23" s="2">
        <v>0.033191</v>
      </c>
      <c r="C23" s="2">
        <v>0.045654</v>
      </c>
      <c r="D23" s="2"/>
      <c r="E23" s="2"/>
      <c r="F23" s="2"/>
      <c r="G23" s="2"/>
    </row>
    <row r="24" spans="1:7">
      <c r="A24" s="3" t="s">
        <v>22</v>
      </c>
      <c r="B24">
        <f xml:space="preserve">AVERAGE(B3:B23)</f>
        <v>0.0334413333333333</v>
      </c>
      <c r="C24">
        <f xml:space="preserve">AVERAGE(C3:C23)</f>
        <v>0.0454321904761905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D1" sqref="D1:G5"/>
    </sheetView>
  </sheetViews>
  <sheetFormatPr defaultColWidth="9" defaultRowHeight="14.4" outlineLevelRow="4" outlineLevelCol="6"/>
  <cols>
    <col min="2" max="2" width="10.6666666666667"/>
    <col min="3" max="4" width="9.66666666666667"/>
    <col min="5" max="7" width="10.6666666666667"/>
  </cols>
  <sheetData>
    <row r="1" spans="1:7">
      <c r="A1" s="1" t="s">
        <v>23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45</v>
      </c>
      <c r="B3" s="2">
        <v>0.04049</v>
      </c>
      <c r="C3" s="2">
        <v>0.0494</v>
      </c>
      <c r="D3" s="2"/>
      <c r="E3" s="2"/>
      <c r="F3" s="2"/>
      <c r="G3" s="2"/>
    </row>
    <row r="4" spans="1:7">
      <c r="A4" t="s">
        <v>46</v>
      </c>
      <c r="B4" s="2">
        <v>0.02309</v>
      </c>
      <c r="C4" s="2">
        <v>0.03175</v>
      </c>
      <c r="D4" s="2"/>
      <c r="E4" s="2"/>
      <c r="F4" s="2"/>
      <c r="G4" s="2"/>
    </row>
    <row r="5" spans="1:7">
      <c r="A5" s="3" t="s">
        <v>22</v>
      </c>
      <c r="B5">
        <f xml:space="preserve">AVERAGE(B3:B4)</f>
        <v>0.03179</v>
      </c>
      <c r="C5">
        <f xml:space="preserve">AVERAGE(C3:C4)</f>
        <v>0.040575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D1" sqref="D1:G11"/>
    </sheetView>
  </sheetViews>
  <sheetFormatPr defaultColWidth="8.88888888888889" defaultRowHeight="14.4" outlineLevelCol="6"/>
  <cols>
    <col min="2" max="3" width="12.8888888888889"/>
    <col min="4" max="4" width="10.6666666666667"/>
    <col min="5" max="5" width="11.7777777777778"/>
    <col min="6" max="6" width="12.8888888888889"/>
    <col min="7" max="7" width="11.7777777777778"/>
  </cols>
  <sheetData>
    <row r="1" spans="1:7">
      <c r="A1" s="1" t="s">
        <v>23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47</v>
      </c>
      <c r="B3">
        <v>0.04637</v>
      </c>
      <c r="C3">
        <v>0.06189</v>
      </c>
    </row>
    <row r="4" spans="1:7">
      <c r="A4" t="s">
        <v>48</v>
      </c>
      <c r="B4">
        <v>0.04907</v>
      </c>
      <c r="C4">
        <v>0.06269</v>
      </c>
    </row>
    <row r="5" spans="1:7">
      <c r="A5" t="s">
        <v>49</v>
      </c>
      <c r="B5">
        <v>0.03675</v>
      </c>
      <c r="C5">
        <v>0.04291</v>
      </c>
    </row>
    <row r="6" spans="1:7">
      <c r="A6" t="s">
        <v>50</v>
      </c>
      <c r="B6">
        <v>0.05061</v>
      </c>
      <c r="C6">
        <v>0.06749</v>
      </c>
    </row>
    <row r="7" spans="1:7">
      <c r="A7" t="s">
        <v>51</v>
      </c>
      <c r="B7">
        <v>0.04552</v>
      </c>
      <c r="C7">
        <v>0.05677</v>
      </c>
    </row>
    <row r="8" spans="1:7">
      <c r="A8" t="s">
        <v>52</v>
      </c>
      <c r="B8">
        <v>0.03292</v>
      </c>
      <c r="C8">
        <v>0.04488</v>
      </c>
    </row>
    <row r="9" spans="1:7">
      <c r="A9" t="s">
        <v>53</v>
      </c>
      <c r="B9">
        <v>0.04291</v>
      </c>
      <c r="C9">
        <v>0.05595</v>
      </c>
    </row>
    <row r="10" spans="1:7">
      <c r="A10" t="s">
        <v>54</v>
      </c>
      <c r="B10">
        <v>0.04594</v>
      </c>
      <c r="C10">
        <v>0.05584</v>
      </c>
    </row>
    <row r="11" spans="1:7">
      <c r="A11" s="3" t="s">
        <v>22</v>
      </c>
      <c r="B11">
        <f xml:space="preserve">AVERAGE(B3:B10)</f>
        <v>0.04376125</v>
      </c>
      <c r="C11">
        <f xml:space="preserve">AVERAGE(C3:C10)</f>
        <v>0.0560525</v>
      </c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D1" sqref="D1:G22"/>
    </sheetView>
  </sheetViews>
  <sheetFormatPr defaultColWidth="8.88888888888889" defaultRowHeight="14.4" outlineLevelCol="6"/>
  <cols>
    <col min="2" max="7" width="12.8888888888889"/>
  </cols>
  <sheetData>
    <row r="1" spans="1:7">
      <c r="A1" s="1" t="s">
        <v>23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55</v>
      </c>
      <c r="B3" s="2">
        <v>0.02846</v>
      </c>
      <c r="C3" s="2">
        <v>0.041453</v>
      </c>
      <c r="D3" s="2"/>
      <c r="E3" s="2"/>
      <c r="F3" s="2"/>
      <c r="G3" s="2"/>
    </row>
    <row r="4" spans="1:7">
      <c r="A4" t="s">
        <v>56</v>
      </c>
      <c r="B4" s="2">
        <v>0.019039</v>
      </c>
      <c r="C4" s="2">
        <v>0.028297</v>
      </c>
      <c r="D4" s="2"/>
      <c r="E4" s="2"/>
      <c r="F4" s="2"/>
      <c r="G4" s="2"/>
    </row>
    <row r="5" spans="1:7">
      <c r="A5" t="s">
        <v>57</v>
      </c>
      <c r="B5" s="2">
        <v>0.025488</v>
      </c>
      <c r="C5" s="2">
        <v>0.035421</v>
      </c>
      <c r="D5" s="2"/>
      <c r="E5" s="2"/>
      <c r="F5" s="2"/>
      <c r="G5" s="2"/>
    </row>
    <row r="6" spans="1:7">
      <c r="A6" t="s">
        <v>58</v>
      </c>
      <c r="B6" s="2">
        <v>0.035808</v>
      </c>
      <c r="C6" s="2">
        <v>0.050664</v>
      </c>
      <c r="D6" s="2"/>
      <c r="E6" s="2"/>
      <c r="F6" s="2"/>
      <c r="G6" s="2"/>
    </row>
    <row r="7" spans="1:7">
      <c r="A7" t="s">
        <v>59</v>
      </c>
      <c r="B7" s="2">
        <v>0.023214</v>
      </c>
      <c r="C7" s="2">
        <v>0.031548</v>
      </c>
      <c r="D7" s="2"/>
      <c r="E7" s="2"/>
      <c r="F7" s="2"/>
      <c r="G7" s="2"/>
    </row>
    <row r="8" spans="1:7">
      <c r="A8" t="s">
        <v>60</v>
      </c>
      <c r="B8" s="2">
        <v>0.04749</v>
      </c>
      <c r="C8" s="2">
        <v>0.066598</v>
      </c>
      <c r="D8" s="2"/>
      <c r="E8" s="2"/>
      <c r="F8" s="2"/>
      <c r="G8" s="2"/>
    </row>
    <row r="9" spans="1:7">
      <c r="A9" t="s">
        <v>61</v>
      </c>
      <c r="B9" s="2">
        <v>0.026572</v>
      </c>
      <c r="C9" s="2">
        <v>0.035945</v>
      </c>
      <c r="D9" s="2"/>
      <c r="E9" s="2"/>
      <c r="F9" s="2"/>
      <c r="G9" s="2"/>
    </row>
    <row r="10" spans="1:7">
      <c r="A10" t="s">
        <v>62</v>
      </c>
      <c r="B10" s="2">
        <v>0.020483</v>
      </c>
      <c r="C10" s="2">
        <v>0.026237</v>
      </c>
      <c r="D10" s="2"/>
      <c r="E10" s="2"/>
      <c r="F10" s="2"/>
      <c r="G10" s="2"/>
    </row>
    <row r="11" spans="1:7">
      <c r="A11" t="s">
        <v>63</v>
      </c>
      <c r="B11" s="2">
        <v>0.054664</v>
      </c>
      <c r="C11" s="2">
        <v>0.079467</v>
      </c>
      <c r="D11" s="2"/>
      <c r="E11" s="2"/>
      <c r="F11" s="2"/>
      <c r="G11" s="2"/>
    </row>
    <row r="12" spans="1:7">
      <c r="A12" t="s">
        <v>64</v>
      </c>
      <c r="B12" s="2">
        <v>0.039983</v>
      </c>
      <c r="C12" s="2">
        <v>0.056924</v>
      </c>
      <c r="D12" s="2"/>
      <c r="E12" s="2"/>
      <c r="F12" s="2"/>
      <c r="G12" s="2"/>
    </row>
    <row r="13" spans="1:7">
      <c r="A13" t="s">
        <v>65</v>
      </c>
      <c r="B13" s="2">
        <v>0.027363</v>
      </c>
      <c r="C13" s="2">
        <v>0.036653</v>
      </c>
      <c r="D13" s="2"/>
      <c r="E13" s="2"/>
      <c r="F13" s="2"/>
      <c r="G13" s="2"/>
    </row>
    <row r="14" spans="1:7">
      <c r="A14" t="s">
        <v>66</v>
      </c>
      <c r="B14" s="2">
        <v>0.032382</v>
      </c>
      <c r="C14" s="2">
        <v>0.04504</v>
      </c>
      <c r="D14" s="2"/>
      <c r="E14" s="2"/>
      <c r="F14" s="2"/>
      <c r="G14" s="2"/>
    </row>
    <row r="15" spans="1:7">
      <c r="A15" t="s">
        <v>67</v>
      </c>
      <c r="B15" s="2">
        <v>0.027564</v>
      </c>
      <c r="C15" s="2">
        <v>0.038202</v>
      </c>
      <c r="D15" s="2"/>
      <c r="E15" s="2"/>
      <c r="F15" s="2"/>
      <c r="G15" s="2"/>
    </row>
    <row r="16" spans="1:7">
      <c r="A16" t="s">
        <v>68</v>
      </c>
      <c r="B16" s="2">
        <v>0.038961</v>
      </c>
      <c r="C16" s="2">
        <v>0.049127</v>
      </c>
      <c r="D16" s="2"/>
      <c r="E16" s="2"/>
      <c r="F16" s="2"/>
      <c r="G16" s="2"/>
    </row>
    <row r="17" spans="1:7">
      <c r="A17" t="s">
        <v>69</v>
      </c>
      <c r="B17" s="2">
        <v>0.053315</v>
      </c>
      <c r="C17" s="2">
        <v>0.074504</v>
      </c>
      <c r="D17" s="2"/>
      <c r="E17" s="2"/>
      <c r="F17" s="2"/>
      <c r="G17" s="2"/>
    </row>
    <row r="18" spans="1:7">
      <c r="A18" t="s">
        <v>70</v>
      </c>
      <c r="B18" s="2">
        <v>0.024383</v>
      </c>
      <c r="C18" s="2">
        <v>0.031729</v>
      </c>
      <c r="D18" s="2"/>
      <c r="E18" s="2"/>
      <c r="F18" s="2"/>
      <c r="G18" s="2"/>
    </row>
    <row r="19" spans="1:7">
      <c r="A19" t="s">
        <v>71</v>
      </c>
      <c r="B19" s="2">
        <v>0.035096</v>
      </c>
      <c r="C19" s="2">
        <v>0.050705</v>
      </c>
      <c r="D19" s="2"/>
      <c r="E19" s="2"/>
      <c r="F19" s="2"/>
      <c r="G19" s="2"/>
    </row>
    <row r="20" spans="1:7">
      <c r="A20" t="s">
        <v>72</v>
      </c>
      <c r="B20" s="2">
        <v>0.034298</v>
      </c>
      <c r="C20" s="2">
        <v>0.046969</v>
      </c>
      <c r="D20" s="2"/>
      <c r="E20" s="2"/>
      <c r="F20" s="2"/>
      <c r="G20" s="2"/>
    </row>
    <row r="21" spans="1:7">
      <c r="A21" t="s">
        <v>73</v>
      </c>
      <c r="B21" s="2">
        <v>0.030802</v>
      </c>
      <c r="C21" s="2">
        <v>0.04219</v>
      </c>
      <c r="D21" s="2"/>
      <c r="E21" s="2"/>
      <c r="F21" s="2"/>
      <c r="G21" s="2"/>
    </row>
    <row r="22" spans="1:7">
      <c r="A22" s="3" t="s">
        <v>22</v>
      </c>
      <c r="B22">
        <f xml:space="preserve">AVERAGE(B3:B21)</f>
        <v>0.0329139473684211</v>
      </c>
      <c r="C22">
        <f xml:space="preserve">AVERAGE(C3:C21)</f>
        <v>0.045667</v>
      </c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D1" sqref="D1:G17"/>
    </sheetView>
  </sheetViews>
  <sheetFormatPr defaultColWidth="8.88888888888889" defaultRowHeight="14.4" outlineLevelCol="6"/>
  <cols>
    <col min="2" max="2" width="12.8888888888889"/>
    <col min="3" max="3" width="9.66666666666667"/>
    <col min="4" max="7" width="12.8888888888889"/>
  </cols>
  <sheetData>
    <row r="1" spans="1:7">
      <c r="A1" s="1" t="s">
        <v>0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74</v>
      </c>
      <c r="B3" s="2">
        <v>0.073958</v>
      </c>
      <c r="C3" s="2">
        <v>0.088748</v>
      </c>
      <c r="D3" s="2"/>
      <c r="E3" s="2"/>
      <c r="F3" s="2"/>
      <c r="G3" s="2"/>
    </row>
    <row r="4" spans="1:7">
      <c r="A4" t="s">
        <v>75</v>
      </c>
      <c r="B4" s="2">
        <v>0.028886</v>
      </c>
      <c r="C4" s="2">
        <v>0.035684</v>
      </c>
      <c r="D4" s="2"/>
      <c r="E4" s="2"/>
      <c r="F4" s="2"/>
      <c r="G4" s="2"/>
    </row>
    <row r="5" spans="1:7">
      <c r="A5" t="s">
        <v>76</v>
      </c>
      <c r="B5" s="2">
        <v>0.027919</v>
      </c>
      <c r="C5" s="2">
        <v>0.033852</v>
      </c>
      <c r="D5" s="2"/>
      <c r="E5" s="2"/>
      <c r="F5" s="2"/>
      <c r="G5" s="2"/>
    </row>
    <row r="6" spans="1:7">
      <c r="A6" t="s">
        <v>77</v>
      </c>
      <c r="B6" s="2">
        <v>0.033013</v>
      </c>
      <c r="C6" s="2">
        <v>0.042508</v>
      </c>
      <c r="D6" s="2"/>
      <c r="E6" s="2"/>
      <c r="F6" s="2"/>
      <c r="G6" s="2"/>
    </row>
    <row r="7" spans="1:7">
      <c r="A7" t="s">
        <v>78</v>
      </c>
      <c r="B7" s="2">
        <v>0.025813</v>
      </c>
      <c r="C7" s="2">
        <v>0.032144</v>
      </c>
      <c r="D7" s="2"/>
      <c r="E7" s="2"/>
      <c r="F7" s="2"/>
      <c r="G7" s="2"/>
    </row>
    <row r="8" spans="1:7">
      <c r="A8" t="s">
        <v>79</v>
      </c>
      <c r="B8" s="2">
        <v>0.031346</v>
      </c>
      <c r="C8" s="2">
        <v>0.039886</v>
      </c>
      <c r="D8" s="2"/>
      <c r="E8" s="2"/>
      <c r="F8" s="2"/>
      <c r="G8" s="2"/>
    </row>
    <row r="9" spans="1:7">
      <c r="A9" t="s">
        <v>80</v>
      </c>
      <c r="B9" s="2">
        <v>0.034415</v>
      </c>
      <c r="C9" s="2">
        <v>0.04133</v>
      </c>
      <c r="D9" s="2"/>
      <c r="E9" s="2"/>
      <c r="F9" s="2"/>
      <c r="G9" s="2"/>
    </row>
    <row r="10" spans="1:7">
      <c r="A10" t="s">
        <v>81</v>
      </c>
      <c r="B10" s="2">
        <v>0.061412</v>
      </c>
      <c r="C10" s="2">
        <v>0.073783</v>
      </c>
      <c r="D10" s="2"/>
      <c r="E10" s="2"/>
      <c r="F10" s="2"/>
      <c r="G10" s="2"/>
    </row>
    <row r="11" spans="1:7">
      <c r="A11" t="s">
        <v>82</v>
      </c>
      <c r="B11" s="2">
        <v>0.025461</v>
      </c>
      <c r="C11" s="2">
        <v>0.032917</v>
      </c>
      <c r="D11" s="2"/>
      <c r="E11" s="2"/>
      <c r="F11" s="2"/>
      <c r="G11" s="2"/>
    </row>
    <row r="12" spans="1:7">
      <c r="A12" t="s">
        <v>83</v>
      </c>
      <c r="B12" s="2">
        <v>0.032151</v>
      </c>
      <c r="C12" s="2">
        <v>0.042539</v>
      </c>
      <c r="D12" s="2"/>
      <c r="E12" s="2"/>
      <c r="F12" s="2"/>
      <c r="G12" s="2"/>
    </row>
    <row r="13" spans="1:7">
      <c r="A13" t="s">
        <v>84</v>
      </c>
      <c r="B13" s="2">
        <v>0.025998</v>
      </c>
      <c r="C13" s="2">
        <v>0.033179</v>
      </c>
      <c r="D13" s="2"/>
      <c r="E13" s="2"/>
      <c r="F13" s="2"/>
      <c r="G13" s="2"/>
    </row>
    <row r="14" spans="1:7">
      <c r="A14" t="s">
        <v>85</v>
      </c>
      <c r="B14" s="2">
        <v>0.02063</v>
      </c>
      <c r="C14" s="2">
        <v>0.027014</v>
      </c>
      <c r="D14" s="2"/>
      <c r="E14" s="2"/>
      <c r="F14" s="2"/>
      <c r="G14" s="2"/>
    </row>
    <row r="15" spans="1:7">
      <c r="A15" t="s">
        <v>86</v>
      </c>
      <c r="B15" s="2">
        <v>0.037331</v>
      </c>
      <c r="C15" s="2">
        <v>0.049072</v>
      </c>
      <c r="D15" s="2"/>
      <c r="E15" s="2"/>
      <c r="F15" s="2"/>
      <c r="G15" s="2"/>
    </row>
    <row r="16" spans="1:7">
      <c r="A16" t="s">
        <v>87</v>
      </c>
      <c r="B16" s="2">
        <v>0.027512</v>
      </c>
      <c r="C16" s="2">
        <v>0.034856</v>
      </c>
      <c r="D16" s="2"/>
      <c r="E16" s="2"/>
      <c r="F16" s="2"/>
      <c r="G16" s="2"/>
    </row>
    <row r="17" spans="1:3">
      <c r="A17" s="3" t="s">
        <v>22</v>
      </c>
      <c r="B17">
        <f xml:space="preserve">AVERAGE(B3:B16)</f>
        <v>0.0347032142857143</v>
      </c>
      <c r="C17">
        <f xml:space="preserve">AVERAGE(C3:C16)</f>
        <v>0.0433937142857143</v>
      </c>
    </row>
    <row r="21" spans="1:3">
      <c r="A21" s="3"/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欧洲</vt:lpstr>
      <vt:lpstr>广东</vt:lpstr>
      <vt:lpstr>印度</vt:lpstr>
      <vt:lpstr>德州</vt:lpstr>
      <vt:lpstr>PJM</vt:lpstr>
      <vt:lpstr>湖南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Lu</dc:creator>
  <cp:lastModifiedBy>冲淡</cp:lastModifiedBy>
  <dcterms:created xsi:type="dcterms:W3CDTF">2023-05-12T11:15:00Z</dcterms:created>
  <dcterms:modified xsi:type="dcterms:W3CDTF">2026-10-14T06:39:52Z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D01A383DF3544A18BF4E428E43030353_12</vt:lpwstr>
  </property>
  <property fmtid="{D5CDD505-2E9C-101B-9397-08002B2CF9AE}" pid="4" name="CalculationRule">
    <vt:i4>0</vt:i4>
  </property>
</Properties>
</file>