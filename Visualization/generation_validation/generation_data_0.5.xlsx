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ersonal\博士论文\heatwave load forecasting\generation_data_proportion\"/>
    </mc:Choice>
  </mc:AlternateContent>
  <bookViews>
    <workbookView windowWidth="22188" windowHeight="9060" activeTab="5"/>
  </bookViews>
  <sheets>
    <sheet name="欧洲" sheetId="1" r:id="rId1"/>
    <sheet name="广东" sheetId="2" r:id="rId2"/>
    <sheet name="印度" sheetId="3" r:id="rId3"/>
    <sheet name="德州" sheetId="4" r:id="rId4"/>
    <sheet name="PJM" sheetId="5" r:id="rId5"/>
    <sheet name="湖南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<sst xmlns="http://schemas.openxmlformats.org/spreadsheetml/2006/main" count="112" uniqueCount="88">
  <si>
    <t>Counrty</t>
  </si>
  <si>
    <t>LSTM</t>
  </si>
  <si>
    <t>MAE</t>
  </si>
  <si>
    <t>RMSE</t>
  </si>
  <si>
    <t>Belgium</t>
  </si>
  <si>
    <t>Croatia</t>
  </si>
  <si>
    <t>Denmark</t>
  </si>
  <si>
    <t>Finland</t>
  </si>
  <si>
    <t>France</t>
  </si>
  <si>
    <t>Germany</t>
  </si>
  <si>
    <t>Hungary</t>
  </si>
  <si>
    <t>Ireland</t>
  </si>
  <si>
    <t>Italy</t>
  </si>
  <si>
    <t>Lithuania</t>
  </si>
  <si>
    <t>Latvia</t>
  </si>
  <si>
    <t>Netherlands</t>
  </si>
  <si>
    <t>Norway</t>
  </si>
  <si>
    <t>Poland</t>
  </si>
  <si>
    <t>Romania</t>
  </si>
  <si>
    <t>Slovenia</t>
  </si>
  <si>
    <t>Sweden</t>
  </si>
  <si>
    <t>Switzerland</t>
  </si>
  <si>
    <t>Average</t>
  </si>
  <si>
    <t>Region</t>
  </si>
  <si>
    <t>Chaozhou</t>
  </si>
  <si>
    <t>Dongguan</t>
  </si>
  <si>
    <t>Foshan</t>
  </si>
  <si>
    <t>Guangzhou</t>
  </si>
  <si>
    <t>Heyuan</t>
  </si>
  <si>
    <t>Huizhou</t>
  </si>
  <si>
    <t>Jiangmen</t>
  </si>
  <si>
    <t>Jieyang</t>
  </si>
  <si>
    <t>Maoming</t>
  </si>
  <si>
    <t>Meizhou</t>
  </si>
  <si>
    <t>Qingyuan</t>
  </si>
  <si>
    <t>Shantou</t>
  </si>
  <si>
    <t>Shanwei</t>
  </si>
  <si>
    <t>Shaoguan</t>
  </si>
  <si>
    <t>Shenzhen</t>
  </si>
  <si>
    <t>Yangjiang</t>
  </si>
  <si>
    <t>Yunfu</t>
  </si>
  <si>
    <t>Zhanjiang</t>
  </si>
  <si>
    <t>Zhaoqing</t>
  </si>
  <si>
    <t>Zhongshan</t>
  </si>
  <si>
    <t>Zhuhai</t>
  </si>
  <si>
    <t>Delhi</t>
  </si>
  <si>
    <t>Maharashtra</t>
  </si>
  <si>
    <t>COAST</t>
  </si>
  <si>
    <t>EAST</t>
  </si>
  <si>
    <t>FAR WEST</t>
  </si>
  <si>
    <t>NORTH</t>
  </si>
  <si>
    <t>NORTH-C</t>
  </si>
  <si>
    <t>SOUTH-C</t>
  </si>
  <si>
    <t>SOUTHERN</t>
  </si>
  <si>
    <t>WEST</t>
  </si>
  <si>
    <t>Allegheny Power System</t>
  </si>
  <si>
    <t>American Electric Power Co., Inc - Appalachian</t>
  </si>
  <si>
    <t>Atlantic Electric Company</t>
  </si>
  <si>
    <t>Baltimore Gas and Electric Company</t>
  </si>
  <si>
    <t>ComEd</t>
  </si>
  <si>
    <t>Dayton Power and Light Company</t>
  </si>
  <si>
    <t>Delmarva Power and Light</t>
  </si>
  <si>
    <t>Dominion Energy</t>
  </si>
  <si>
    <t>Duke Energy Ohio</t>
  </si>
  <si>
    <t>Duquesne Light</t>
  </si>
  <si>
    <t>East Kentucky Power Coop</t>
  </si>
  <si>
    <t>First Energy - Pennsylvania Electric Company</t>
  </si>
  <si>
    <t>Jersey Central Power and Light Company</t>
  </si>
  <si>
    <t>Metropolitan Edison Company</t>
  </si>
  <si>
    <t>Orion Energy</t>
  </si>
  <si>
    <t>Pennsylvania Electric Company</t>
  </si>
  <si>
    <t>Pennsylvania Power and Light Company</t>
  </si>
  <si>
    <t>Potomac Electric Power</t>
  </si>
  <si>
    <t>Public Service Electric and Gas Company</t>
  </si>
  <si>
    <t>Loudi</t>
  </si>
  <si>
    <t>Yueyang</t>
  </si>
  <si>
    <t>Changde</t>
  </si>
  <si>
    <t>Zhangjiajie</t>
  </si>
  <si>
    <t>Huaihua</t>
  </si>
  <si>
    <t>Zhuzhou</t>
  </si>
  <si>
    <t>Yongzhou</t>
  </si>
  <si>
    <t>Xiangtan</t>
  </si>
  <si>
    <t>Xiangxi</t>
  </si>
  <si>
    <t>Yiyang</t>
  </si>
  <si>
    <t>Hengyang</t>
  </si>
  <si>
    <t>Shaoyang</t>
  </si>
  <si>
    <t>Chenzhou</t>
  </si>
  <si>
    <t>Changsha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</si>
</sst>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D1" sqref="D1:G21"/>
    </sheetView>
  </sheetViews>
  <sheetFormatPr defaultColWidth="9" defaultRowHeight="14.4" outlineLevelCol="6"/>
  <cols>
    <col min="2" max="2" width="15.1111111111111" customWidth="1"/>
    <col min="3" max="3" width="14.4444444444444" customWidth="1"/>
    <col min="4" max="4" width="14.8888888888889" customWidth="1"/>
    <col min="5" max="5" width="14.4444444444444" customWidth="1"/>
    <col min="6" max="6" width="13.3333333333333" customWidth="1"/>
    <col min="7" max="7" width="14.4444444444444" customWidth="1"/>
  </cols>
  <sheetData>
    <row r="1" spans="1:7">
      <c r="A1" s="1" t="s">
        <v>0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4</v>
      </c>
      <c r="B3">
        <v>0.039004</v>
      </c>
      <c r="C3">
        <v>0.050645</v>
      </c>
    </row>
    <row r="4" spans="1:7">
      <c r="A4" t="s">
        <v>5</v>
      </c>
      <c r="B4">
        <v>0.041254</v>
      </c>
      <c r="C4">
        <v>0.048733</v>
      </c>
    </row>
    <row r="5" spans="1:7">
      <c r="A5" t="s">
        <v>6</v>
      </c>
      <c r="B5">
        <v>0.035283</v>
      </c>
      <c r="C5">
        <v>0.043946</v>
      </c>
    </row>
    <row r="6" spans="1:7">
      <c r="A6" t="s">
        <v>7</v>
      </c>
      <c r="B6">
        <v>0.038027</v>
      </c>
      <c r="C6">
        <v>0.047579</v>
      </c>
    </row>
    <row r="7" spans="1:7">
      <c r="A7" t="s">
        <v>8</v>
      </c>
      <c r="B7">
        <v>0.018154</v>
      </c>
      <c r="C7">
        <v>0.023401</v>
      </c>
    </row>
    <row r="8" spans="1:7">
      <c r="A8" t="s">
        <v>9</v>
      </c>
      <c r="B8">
        <v>0.028337</v>
      </c>
      <c r="C8">
        <v>0.035772</v>
      </c>
    </row>
    <row r="9" spans="1:7">
      <c r="A9" t="s">
        <v>10</v>
      </c>
      <c r="B9">
        <v>0.025965</v>
      </c>
      <c r="C9">
        <v>0.032653</v>
      </c>
    </row>
    <row r="10" spans="1:7">
      <c r="A10" t="s">
        <v>11</v>
      </c>
      <c r="B10">
        <v>0.062124</v>
      </c>
      <c r="C10">
        <v>0.078363</v>
      </c>
    </row>
    <row r="11" spans="1:7">
      <c r="A11" t="s">
        <v>12</v>
      </c>
      <c r="B11">
        <v>0.022439</v>
      </c>
      <c r="C11">
        <v>0.029264</v>
      </c>
    </row>
    <row r="12" spans="1:7">
      <c r="A12" t="s">
        <v>13</v>
      </c>
      <c r="B12">
        <v>0.035555</v>
      </c>
      <c r="C12">
        <v>0.044706</v>
      </c>
    </row>
    <row r="13" spans="1:7">
      <c r="A13" t="s">
        <v>14</v>
      </c>
      <c r="B13">
        <v>0.032473</v>
      </c>
      <c r="C13">
        <v>0.044307</v>
      </c>
    </row>
    <row r="14" spans="1:7">
      <c r="A14" t="s">
        <v>15</v>
      </c>
      <c r="B14">
        <v>0.031997</v>
      </c>
      <c r="C14">
        <v>0.043592</v>
      </c>
    </row>
    <row r="15" spans="1:7">
      <c r="A15" t="s">
        <v>16</v>
      </c>
      <c r="B15">
        <v>0.022148</v>
      </c>
      <c r="C15">
        <v>0.02722</v>
      </c>
    </row>
    <row r="16" spans="1:7">
      <c r="A16" t="s">
        <v>17</v>
      </c>
      <c r="B16">
        <v>0.018535</v>
      </c>
      <c r="C16">
        <v>0.026531</v>
      </c>
    </row>
    <row r="17" spans="1:3">
      <c r="A17" t="s">
        <v>18</v>
      </c>
      <c r="B17">
        <v>0.028861</v>
      </c>
      <c r="C17">
        <v>0.034943</v>
      </c>
    </row>
    <row r="18" spans="1:3">
      <c r="A18" t="s">
        <v>19</v>
      </c>
      <c r="B18">
        <v>0.038515</v>
      </c>
      <c r="C18">
        <v>0.049065</v>
      </c>
    </row>
    <row r="19" spans="1:3">
      <c r="A19" t="s">
        <v>20</v>
      </c>
      <c r="B19">
        <v>0.034266</v>
      </c>
      <c r="C19">
        <v>0.048791</v>
      </c>
    </row>
    <row r="20" spans="1:3">
      <c r="A20" t="s">
        <v>21</v>
      </c>
      <c r="B20">
        <v>0.042232</v>
      </c>
      <c r="C20">
        <v>0.055519</v>
      </c>
    </row>
    <row r="21" spans="1:3">
      <c r="A21" s="2" t="s">
        <v>22</v>
      </c>
      <c r="B21">
        <f xml:space="preserve">AVERAGE(B3:B20)</f>
        <v>0.0330649444444445</v>
      </c>
      <c r="C21">
        <f xml:space="preserve">AVERAGE(C3:C20)</f>
        <v>0.0425016666666667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D1" sqref="D1:G24"/>
    </sheetView>
  </sheetViews>
  <sheetFormatPr defaultColWidth="9" defaultRowHeight="14.4" outlineLevelCol="6"/>
  <cols>
    <col min="2" max="7" width="12.8888888888889"/>
  </cols>
  <sheetData>
    <row r="1" spans="1:7">
      <c r="A1" s="1" t="s">
        <v>23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24</v>
      </c>
      <c r="B3">
        <v>0.022028</v>
      </c>
      <c r="C3">
        <v>0.030912</v>
      </c>
    </row>
    <row r="4" spans="1:7">
      <c r="A4" t="s">
        <v>25</v>
      </c>
      <c r="B4">
        <v>0.018709</v>
      </c>
      <c r="C4">
        <v>0.027817</v>
      </c>
    </row>
    <row r="5" spans="1:7">
      <c r="A5" t="s">
        <v>26</v>
      </c>
      <c r="B5">
        <v>0.022293</v>
      </c>
      <c r="C5">
        <v>0.032338</v>
      </c>
    </row>
    <row r="6" spans="1:7">
      <c r="A6" t="s">
        <v>27</v>
      </c>
      <c r="B6">
        <v>0.024334</v>
      </c>
      <c r="C6">
        <v>0.039027</v>
      </c>
    </row>
    <row r="7" spans="1:7">
      <c r="A7" t="s">
        <v>28</v>
      </c>
      <c r="B7">
        <v>0.041315</v>
      </c>
      <c r="C7">
        <v>0.049645</v>
      </c>
    </row>
    <row r="8" spans="1:7">
      <c r="A8" t="s">
        <v>29</v>
      </c>
      <c r="B8">
        <v>0.025817</v>
      </c>
      <c r="C8">
        <v>0.03831</v>
      </c>
    </row>
    <row r="9" spans="1:7">
      <c r="A9" t="s">
        <v>30</v>
      </c>
      <c r="B9">
        <v>0.023634</v>
      </c>
      <c r="C9">
        <v>0.030759</v>
      </c>
    </row>
    <row r="10" spans="1:7">
      <c r="A10" t="s">
        <v>31</v>
      </c>
      <c r="B10">
        <v>0.089919</v>
      </c>
      <c r="C10">
        <v>0.109586</v>
      </c>
    </row>
    <row r="11" spans="1:7">
      <c r="A11" t="s">
        <v>32</v>
      </c>
      <c r="B11">
        <v>0.028457</v>
      </c>
      <c r="C11">
        <v>0.043337</v>
      </c>
    </row>
    <row r="12" spans="1:7">
      <c r="A12" t="s">
        <v>33</v>
      </c>
      <c r="B12">
        <v>0.027214</v>
      </c>
      <c r="C12">
        <v>0.034697</v>
      </c>
    </row>
    <row r="13" spans="1:7">
      <c r="A13" t="s">
        <v>34</v>
      </c>
      <c r="B13">
        <v>0.03594</v>
      </c>
      <c r="C13">
        <v>0.046891</v>
      </c>
    </row>
    <row r="14" spans="1:7">
      <c r="A14" t="s">
        <v>35</v>
      </c>
      <c r="B14">
        <v>0.020567</v>
      </c>
      <c r="C14">
        <v>0.028342</v>
      </c>
    </row>
    <row r="15" spans="1:7">
      <c r="A15" t="s">
        <v>36</v>
      </c>
      <c r="B15">
        <v>0.029379</v>
      </c>
      <c r="C15">
        <v>0.040167</v>
      </c>
    </row>
    <row r="16" spans="1:7">
      <c r="A16" t="s">
        <v>37</v>
      </c>
      <c r="B16">
        <v>0.036385</v>
      </c>
      <c r="C16">
        <v>0.046748</v>
      </c>
    </row>
    <row r="17" spans="1:3">
      <c r="A17" t="s">
        <v>38</v>
      </c>
      <c r="B17">
        <v>0.013137</v>
      </c>
      <c r="C17">
        <v>0.020277</v>
      </c>
    </row>
    <row r="18" spans="1:3">
      <c r="A18" t="s">
        <v>39</v>
      </c>
      <c r="B18">
        <v>0.050577</v>
      </c>
      <c r="C18">
        <v>0.063715</v>
      </c>
    </row>
    <row r="19" spans="1:3">
      <c r="A19" t="s">
        <v>40</v>
      </c>
      <c r="B19">
        <v>0.06412</v>
      </c>
      <c r="C19">
        <v>0.076185</v>
      </c>
    </row>
    <row r="20" spans="1:3">
      <c r="A20" t="s">
        <v>41</v>
      </c>
      <c r="B20">
        <v>0.034367</v>
      </c>
      <c r="C20">
        <v>0.056614</v>
      </c>
    </row>
    <row r="21" spans="1:3">
      <c r="A21" t="s">
        <v>42</v>
      </c>
      <c r="B21">
        <v>0.027029</v>
      </c>
      <c r="C21">
        <v>0.03383</v>
      </c>
    </row>
    <row r="22" spans="1:3">
      <c r="A22" t="s">
        <v>43</v>
      </c>
      <c r="B22">
        <v>0.028373</v>
      </c>
      <c r="C22">
        <v>0.045273</v>
      </c>
    </row>
    <row r="23" spans="1:3">
      <c r="A23" t="s">
        <v>44</v>
      </c>
      <c r="B23">
        <v>0.037721</v>
      </c>
      <c r="C23">
        <v>0.049748</v>
      </c>
    </row>
    <row r="24" spans="1:3">
      <c r="A24" s="2" t="s">
        <v>22</v>
      </c>
      <c r="B24">
        <f xml:space="preserve">AVERAGE(B3:B23)</f>
        <v>0.0333959523809524</v>
      </c>
      <c r="C24">
        <f xml:space="preserve">AVERAGE(C3:C23)</f>
        <v>0.0449627619047619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D1" sqref="D1:G5"/>
    </sheetView>
  </sheetViews>
  <sheetFormatPr defaultColWidth="9" defaultRowHeight="14.4" outlineLevelRow="4" outlineLevelCol="6"/>
  <cols>
    <col min="2" max="3" width="10.6666666666667"/>
    <col min="4" max="4" width="9.66666666666667"/>
    <col min="5" max="6" width="10.6666666666667"/>
    <col min="7" max="7" width="9.66666666666667"/>
  </cols>
  <sheetData>
    <row r="1" spans="1:7">
      <c r="A1" s="1" t="s">
        <v>23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45</v>
      </c>
      <c r="B3">
        <v>0.042226</v>
      </c>
      <c r="C3">
        <v>0.049477</v>
      </c>
    </row>
    <row r="4" spans="1:7">
      <c r="A4" t="s">
        <v>46</v>
      </c>
      <c r="B4">
        <v>0.026209</v>
      </c>
      <c r="C4">
        <v>0.033681</v>
      </c>
    </row>
    <row r="5" spans="1:7">
      <c r="A5" s="2" t="s">
        <v>22</v>
      </c>
      <c r="B5">
        <f xml:space="preserve">AVERAGE(B3:B4)</f>
        <v>0.0342175</v>
      </c>
      <c r="C5">
        <f xml:space="preserve">AVERAGE(C3:C4)</f>
        <v>0.041579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D1" sqref="D1:G11"/>
    </sheetView>
  </sheetViews>
  <sheetFormatPr defaultColWidth="8.88888888888889" defaultRowHeight="14.4" outlineLevelCol="6"/>
  <cols>
    <col min="2" max="2" width="9.66666666666667"/>
    <col min="3" max="4" width="12.8888888888889"/>
    <col min="5" max="5" width="11.7777777777778"/>
    <col min="6" max="6" width="12.8888888888889"/>
    <col min="7" max="7" width="10.6666666666667"/>
  </cols>
  <sheetData>
    <row r="1" spans="1:7">
      <c r="A1" s="1" t="s">
        <v>23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47</v>
      </c>
      <c r="B3">
        <v>0.035628</v>
      </c>
      <c r="C3">
        <v>0.047139</v>
      </c>
    </row>
    <row r="4" spans="1:7">
      <c r="A4" t="s">
        <v>48</v>
      </c>
      <c r="B4">
        <v>0.032301</v>
      </c>
      <c r="C4">
        <v>0.04053</v>
      </c>
    </row>
    <row r="5" spans="1:7">
      <c r="A5" t="s">
        <v>49</v>
      </c>
      <c r="B5">
        <v>0.033634</v>
      </c>
      <c r="C5">
        <v>0.039373</v>
      </c>
    </row>
    <row r="6" spans="1:7">
      <c r="A6" t="s">
        <v>50</v>
      </c>
      <c r="B6">
        <v>0.035648</v>
      </c>
      <c r="C6">
        <v>0.045168</v>
      </c>
    </row>
    <row r="7" spans="1:7">
      <c r="A7" t="s">
        <v>51</v>
      </c>
      <c r="B7">
        <v>0.039957</v>
      </c>
      <c r="C7">
        <v>0.053087</v>
      </c>
    </row>
    <row r="8" spans="1:7">
      <c r="A8" t="s">
        <v>52</v>
      </c>
      <c r="B8">
        <v>0.033369</v>
      </c>
      <c r="C8">
        <v>0.045369</v>
      </c>
    </row>
    <row r="9" spans="1:7">
      <c r="A9" t="s">
        <v>53</v>
      </c>
      <c r="B9">
        <v>0.040016</v>
      </c>
      <c r="C9">
        <v>0.053645</v>
      </c>
    </row>
    <row r="10" spans="1:7">
      <c r="A10" t="s">
        <v>54</v>
      </c>
      <c r="B10">
        <v>0.039322</v>
      </c>
      <c r="C10">
        <v>0.049735</v>
      </c>
    </row>
    <row r="11" spans="1:7">
      <c r="A11" s="2" t="s">
        <v>22</v>
      </c>
      <c r="B11">
        <f xml:space="preserve">AVERAGE(B3:B10)</f>
        <v>0.036234375</v>
      </c>
      <c r="C11">
        <f xml:space="preserve">AVERAGE(C3:C10)</f>
        <v>0.04675575</v>
      </c>
    </row>
  </sheetData>
  <mergeCells count="4">
    <mergeCell ref="B1:C1"/>
    <mergeCell ref="D1:E1"/>
    <mergeCell ref="F1:G1"/>
    <mergeCell ref="A1:A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D1" sqref="D1:G22"/>
    </sheetView>
  </sheetViews>
  <sheetFormatPr defaultColWidth="8.88888888888889" defaultRowHeight="14.4" outlineLevelCol="6"/>
  <cols>
    <col min="2" max="6" width="12.8888888888889"/>
    <col min="7" max="7" width="9.66666666666667"/>
  </cols>
  <sheetData>
    <row r="1" spans="1:7">
      <c r="A1" s="1" t="s">
        <v>23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55</v>
      </c>
      <c r="B3">
        <v>0.042156</v>
      </c>
      <c r="C3">
        <v>0.05733</v>
      </c>
    </row>
    <row r="4" spans="1:7">
      <c r="A4" t="s">
        <v>56</v>
      </c>
      <c r="B4">
        <v>0.020538</v>
      </c>
      <c r="C4">
        <v>0.031033</v>
      </c>
    </row>
    <row r="5" spans="1:7">
      <c r="A5" t="s">
        <v>57</v>
      </c>
      <c r="B5">
        <v>0.026129</v>
      </c>
      <c r="C5">
        <v>0.035433</v>
      </c>
    </row>
    <row r="6" spans="1:7">
      <c r="A6" t="s">
        <v>58</v>
      </c>
      <c r="B6">
        <v>0.038768</v>
      </c>
      <c r="C6">
        <v>0.059571</v>
      </c>
    </row>
    <row r="7" spans="1:7">
      <c r="A7" t="s">
        <v>59</v>
      </c>
      <c r="B7">
        <v>0.024962</v>
      </c>
      <c r="C7">
        <v>0.035498</v>
      </c>
    </row>
    <row r="8" spans="1:7">
      <c r="A8" t="s">
        <v>60</v>
      </c>
      <c r="B8">
        <v>0.046712</v>
      </c>
      <c r="C8">
        <v>0.068398</v>
      </c>
    </row>
    <row r="9" spans="1:7">
      <c r="A9" t="s">
        <v>61</v>
      </c>
      <c r="B9">
        <v>0.028476</v>
      </c>
      <c r="C9">
        <v>0.037953</v>
      </c>
    </row>
    <row r="10" spans="1:7">
      <c r="A10" t="s">
        <v>62</v>
      </c>
      <c r="B10">
        <v>0.015354</v>
      </c>
      <c r="C10">
        <v>0.01993</v>
      </c>
    </row>
    <row r="11" spans="1:7">
      <c r="A11" t="s">
        <v>63</v>
      </c>
      <c r="B11">
        <v>0.045647</v>
      </c>
      <c r="C11">
        <v>0.066318</v>
      </c>
    </row>
    <row r="12" spans="1:7">
      <c r="A12" t="s">
        <v>64</v>
      </c>
      <c r="B12">
        <v>0.043125</v>
      </c>
      <c r="C12">
        <v>0.059235</v>
      </c>
    </row>
    <row r="13" spans="1:7">
      <c r="A13" t="s">
        <v>65</v>
      </c>
      <c r="B13">
        <v>0.028371</v>
      </c>
      <c r="C13">
        <v>0.037049</v>
      </c>
    </row>
    <row r="14" spans="1:7">
      <c r="A14" t="s">
        <v>66</v>
      </c>
      <c r="B14">
        <v>0.044121</v>
      </c>
      <c r="C14">
        <v>0.056924</v>
      </c>
    </row>
    <row r="15" spans="1:7">
      <c r="A15" t="s">
        <v>67</v>
      </c>
      <c r="B15">
        <v>0.028591</v>
      </c>
      <c r="C15">
        <v>0.041303</v>
      </c>
    </row>
    <row r="16" spans="1:7">
      <c r="A16" t="s">
        <v>68</v>
      </c>
      <c r="B16">
        <v>0.041215</v>
      </c>
      <c r="C16">
        <v>0.053434</v>
      </c>
    </row>
    <row r="17" spans="1:3">
      <c r="A17" t="s">
        <v>69</v>
      </c>
      <c r="B17">
        <v>0.05665</v>
      </c>
      <c r="C17">
        <v>0.078006</v>
      </c>
    </row>
    <row r="18" spans="1:3">
      <c r="A18" t="s">
        <v>70</v>
      </c>
      <c r="B18">
        <v>0.02157</v>
      </c>
      <c r="C18">
        <v>0.028893</v>
      </c>
    </row>
    <row r="19" spans="1:3">
      <c r="A19" t="s">
        <v>71</v>
      </c>
      <c r="B19">
        <v>0.037153</v>
      </c>
      <c r="C19">
        <v>0.05213</v>
      </c>
    </row>
    <row r="20" spans="1:3">
      <c r="A20" t="s">
        <v>72</v>
      </c>
      <c r="B20">
        <v>0.035643</v>
      </c>
      <c r="C20">
        <v>0.04929</v>
      </c>
    </row>
    <row r="21" spans="1:3">
      <c r="A21" t="s">
        <v>73</v>
      </c>
      <c r="B21">
        <v>0.028233</v>
      </c>
      <c r="C21">
        <v>0.037404</v>
      </c>
    </row>
    <row r="22" spans="1:3">
      <c r="A22" s="2" t="s">
        <v>22</v>
      </c>
      <c r="B22">
        <f xml:space="preserve">AVERAGE(B3:B21)</f>
        <v>0.0343902105263158</v>
      </c>
      <c r="C22">
        <f xml:space="preserve">AVERAGE(C3:C21)</f>
        <v>0.0476385263157895</v>
      </c>
    </row>
  </sheetData>
  <mergeCells count="4">
    <mergeCell ref="B1:C1"/>
    <mergeCell ref="D1:E1"/>
    <mergeCell ref="F1:G1"/>
    <mergeCell ref="A1:A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D1" sqref="D1:G17"/>
    </sheetView>
  </sheetViews>
  <sheetFormatPr defaultColWidth="8.88888888888889" defaultRowHeight="14.4" outlineLevelCol="6"/>
  <cols>
    <col min="2" max="7" width="12.8888888888889"/>
  </cols>
  <sheetData>
    <row r="1" spans="1:7">
      <c r="A1" s="1" t="s">
        <v>0</v>
      </c>
      <c r="B1" s="1" t="s">
        <v>1</v>
      </c>
      <c r="C1" s="1"/>
      <c r="D1" s="1"/>
      <c r="E1" s="1"/>
      <c r="F1" s="1"/>
      <c r="G1" s="1"/>
    </row>
    <row r="2" spans="1:7">
      <c r="A2" s="1"/>
      <c r="B2" s="1" t="s">
        <v>2</v>
      </c>
      <c r="C2" s="1" t="s">
        <v>3</v>
      </c>
      <c r="D2" s="1"/>
      <c r="E2" s="1"/>
      <c r="F2" s="1"/>
      <c r="G2" s="1"/>
    </row>
    <row r="3" spans="1:7">
      <c r="A3" t="s">
        <v>74</v>
      </c>
      <c r="B3">
        <v>0.063896</v>
      </c>
      <c r="C3">
        <v>0.082274</v>
      </c>
    </row>
    <row r="4" spans="1:7">
      <c r="A4" t="s">
        <v>75</v>
      </c>
      <c r="B4">
        <v>0.017415</v>
      </c>
      <c r="C4">
        <v>0.022979</v>
      </c>
    </row>
    <row r="5" spans="1:7">
      <c r="A5" t="s">
        <v>76</v>
      </c>
      <c r="B5">
        <v>0.021192</v>
      </c>
      <c r="C5">
        <v>0.027142</v>
      </c>
    </row>
    <row r="6" spans="1:7">
      <c r="A6" t="s">
        <v>77</v>
      </c>
      <c r="B6">
        <v>0.029307</v>
      </c>
      <c r="C6">
        <v>0.036756</v>
      </c>
    </row>
    <row r="7" spans="1:7">
      <c r="A7" t="s">
        <v>78</v>
      </c>
      <c r="B7">
        <v>0.03071</v>
      </c>
      <c r="C7">
        <v>0.038702</v>
      </c>
    </row>
    <row r="8" spans="1:7">
      <c r="A8" t="s">
        <v>79</v>
      </c>
      <c r="B8">
        <v>0.02455</v>
      </c>
      <c r="C8">
        <v>0.033029</v>
      </c>
    </row>
    <row r="9" spans="1:7">
      <c r="A9" t="s">
        <v>80</v>
      </c>
      <c r="B9">
        <v>0.026735</v>
      </c>
      <c r="C9">
        <v>0.034985</v>
      </c>
    </row>
    <row r="10" spans="1:7">
      <c r="A10" t="s">
        <v>81</v>
      </c>
      <c r="B10">
        <v>0.030516</v>
      </c>
      <c r="C10">
        <v>0.03768</v>
      </c>
    </row>
    <row r="11" spans="1:7">
      <c r="A11" t="s">
        <v>82</v>
      </c>
      <c r="B11">
        <v>0.023679</v>
      </c>
      <c r="C11">
        <v>0.031466</v>
      </c>
    </row>
    <row r="12" spans="1:7">
      <c r="A12" t="s">
        <v>83</v>
      </c>
      <c r="B12">
        <v>0.038349</v>
      </c>
      <c r="C12">
        <v>0.047985</v>
      </c>
    </row>
    <row r="13" spans="1:7">
      <c r="A13" t="s">
        <v>84</v>
      </c>
      <c r="B13">
        <v>0.031016</v>
      </c>
      <c r="C13">
        <v>0.039666</v>
      </c>
    </row>
    <row r="14" spans="1:7">
      <c r="A14" t="s">
        <v>85</v>
      </c>
      <c r="B14">
        <v>0.018026</v>
      </c>
      <c r="C14">
        <v>0.023116</v>
      </c>
    </row>
    <row r="15" spans="1:7">
      <c r="A15" t="s">
        <v>86</v>
      </c>
      <c r="B15">
        <v>0.036458</v>
      </c>
      <c r="C15">
        <v>0.050938</v>
      </c>
    </row>
    <row r="16" spans="1:7">
      <c r="A16" t="s">
        <v>87</v>
      </c>
      <c r="B16">
        <v>0.030046</v>
      </c>
      <c r="C16">
        <v>0.039062</v>
      </c>
    </row>
    <row r="17" spans="1:3">
      <c r="A17" s="2" t="s">
        <v>22</v>
      </c>
      <c r="B17">
        <f xml:space="preserve">AVERAGE(B3:B16)</f>
        <v>0.0301353571428571</v>
      </c>
      <c r="C17">
        <f xml:space="preserve">AVERAGE(C3:C16)</f>
        <v>0.0389842857142857</v>
      </c>
    </row>
    <row r="21" spans="1:3">
      <c r="A21" s="2"/>
    </row>
  </sheetData>
  <mergeCells count="4">
    <mergeCell ref="B1:C1"/>
    <mergeCell ref="D1:E1"/>
    <mergeCell ref="F1:G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欧洲</vt:lpstr>
      <vt:lpstr>广东</vt:lpstr>
      <vt:lpstr>印度</vt:lpstr>
      <vt:lpstr>德州</vt:lpstr>
      <vt:lpstr>PJM</vt:lpstr>
      <vt:lpstr>湖南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Lu</dc:creator>
  <cp:lastModifiedBy>冲淡</cp:lastModifiedBy>
  <dcterms:created xsi:type="dcterms:W3CDTF">2023-05-12T11:15:00Z</dcterms:created>
  <dcterms:modified xsi:type="dcterms:W3CDTF">2026-10-14T06:37:26Z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D01A383DF3544A18BF4E428E43030353_12</vt:lpwstr>
  </property>
  <property fmtid="{D5CDD505-2E9C-101B-9397-08002B2CF9AE}" pid="4" name="CalculationRule">
    <vt:i4>0</vt:i4>
  </property>
</Properties>
</file>