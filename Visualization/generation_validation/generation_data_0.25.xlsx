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activeTab="2"/>
  </bookViews>
  <sheets>
    <sheet name="欧洲" sheetId="1" r:id="rId1"/>
    <sheet name="广东" sheetId="2" r:id="rId2"/>
    <sheet name="印度" sheetId="3" r:id="rId3"/>
    <sheet name="德州" sheetId="4" r:id="rId4"/>
    <sheet name="PJM" sheetId="5" r:id="rId5"/>
    <sheet name="湖南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<sst xmlns="http://schemas.openxmlformats.org/spreadsheetml/2006/main" count="148" uniqueCount="90">
  <si>
    <t>Counrty</t>
  </si>
  <si>
    <t>MLP</t>
  </si>
  <si>
    <t>LSTM</t>
  </si>
  <si>
    <t>CNN</t>
  </si>
  <si>
    <t>MAE</t>
  </si>
  <si>
    <t>RMSE</t>
  </si>
  <si>
    <t>Belgium</t>
  </si>
  <si>
    <t>Croatia</t>
  </si>
  <si>
    <t>Denmark</t>
  </si>
  <si>
    <t>Finland</t>
  </si>
  <si>
    <t>France</t>
  </si>
  <si>
    <t>Germany</t>
  </si>
  <si>
    <t>Hungary</t>
  </si>
  <si>
    <t>Ireland</t>
  </si>
  <si>
    <t>Italy</t>
  </si>
  <si>
    <t>Lithuania</t>
  </si>
  <si>
    <t>Latvia</t>
  </si>
  <si>
    <t>Netherlands</t>
  </si>
  <si>
    <t>Norway</t>
  </si>
  <si>
    <t>Poland</t>
  </si>
  <si>
    <t>Romania</t>
  </si>
  <si>
    <t>Slovenia</t>
  </si>
  <si>
    <t>Sweden</t>
  </si>
  <si>
    <t>Switzerland</t>
  </si>
  <si>
    <t>Average</t>
  </si>
  <si>
    <t>Region</t>
  </si>
  <si>
    <t>Chaozhou</t>
  </si>
  <si>
    <t>Dongguan</t>
  </si>
  <si>
    <t>Foshan</t>
  </si>
  <si>
    <t>Guangzhou</t>
  </si>
  <si>
    <t>Heyuan</t>
  </si>
  <si>
    <t>Huizhou</t>
  </si>
  <si>
    <t>Jiangmen</t>
  </si>
  <si>
    <t>Jieyang</t>
  </si>
  <si>
    <t>Maoming</t>
  </si>
  <si>
    <t>Meizhou</t>
  </si>
  <si>
    <t>Qingyuan</t>
  </si>
  <si>
    <t>Shantou</t>
  </si>
  <si>
    <t>Shanwei</t>
  </si>
  <si>
    <t>Shaoguan</t>
  </si>
  <si>
    <t>Shenzhen</t>
  </si>
  <si>
    <t>Yangjiang</t>
  </si>
  <si>
    <t>Yunfu</t>
  </si>
  <si>
    <t>Zhanjiang</t>
  </si>
  <si>
    <t>Zhaoqing</t>
  </si>
  <si>
    <t>Zhongshan</t>
  </si>
  <si>
    <t>Zhuhai</t>
  </si>
  <si>
    <t>Delhi</t>
  </si>
  <si>
    <t>Maharashtra</t>
  </si>
  <si>
    <t>COAST</t>
  </si>
  <si>
    <t>EAST</t>
  </si>
  <si>
    <t>FAR WEST</t>
  </si>
  <si>
    <t>NORTH</t>
  </si>
  <si>
    <t>NORTH-C</t>
  </si>
  <si>
    <t>SOUTH-C</t>
  </si>
  <si>
    <t>SOUTHERN</t>
  </si>
  <si>
    <t>WEST</t>
  </si>
  <si>
    <t>Allegheny Power System</t>
  </si>
  <si>
    <t>American Electric Power Co., Inc - Appalachian</t>
  </si>
  <si>
    <t>Atlantic Electric Company</t>
  </si>
  <si>
    <t>Baltimore Gas and Electric Company</t>
  </si>
  <si>
    <t>ComEd</t>
  </si>
  <si>
    <t>Dayton Power and Light Company</t>
  </si>
  <si>
    <t>Delmarva Power and Light</t>
  </si>
  <si>
    <t>Dominion Energy</t>
  </si>
  <si>
    <t>Duke Energy Ohio</t>
  </si>
  <si>
    <t>Duquesne Light</t>
  </si>
  <si>
    <t>East Kentucky Power Coop</t>
  </si>
  <si>
    <t>First Energy - Pennsylvania Electric Company</t>
  </si>
  <si>
    <t>Jersey Central Power and Light Company</t>
  </si>
  <si>
    <t>Metropolitan Edison Company</t>
  </si>
  <si>
    <t>Orion Energy</t>
  </si>
  <si>
    <t>Pennsylvania Electric Company</t>
  </si>
  <si>
    <t>Pennsylvania Power and Light Company</t>
  </si>
  <si>
    <t>Potomac Electric Power</t>
  </si>
  <si>
    <t>Public Service Electric and Gas Company</t>
  </si>
  <si>
    <t>Loudi</t>
  </si>
  <si>
    <t>Yueyang</t>
  </si>
  <si>
    <t>Changde</t>
  </si>
  <si>
    <t>Zhangjiajie</t>
  </si>
  <si>
    <t>Huaihua</t>
  </si>
  <si>
    <t>Zhuzhou</t>
  </si>
  <si>
    <t>Yongzhou</t>
  </si>
  <si>
    <t>Xiangtan</t>
  </si>
  <si>
    <t>Xiangxi</t>
  </si>
  <si>
    <t>Yiyang</t>
  </si>
  <si>
    <t>Hengyang</t>
  </si>
  <si>
    <t>Shaoyang</t>
  </si>
  <si>
    <t>Chenzhou</t>
  </si>
  <si>
    <t>Changsha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</si>
</sst>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B1" sqref="B1:G2"/>
    </sheetView>
  </sheetViews>
  <sheetFormatPr defaultColWidth="9" defaultRowHeight="14.4" outlineLevelCol="6"/>
  <cols>
    <col min="2" max="7" width="12.8888888888889"/>
  </cols>
  <sheetData>
    <row r="1" spans="1:7">
      <c r="A1" s="1" t="s">
        <v>0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6</v>
      </c>
      <c r="B3">
        <v>0.05182</v>
      </c>
      <c r="C3">
        <v>0.064267</v>
      </c>
      <c r="D3">
        <v>0.051229</v>
      </c>
      <c r="E3">
        <v>0.063514</v>
      </c>
      <c r="F3">
        <v>0.050189</v>
      </c>
      <c r="G3">
        <v>0.070575</v>
      </c>
    </row>
    <row r="4" spans="1:7">
      <c r="A4" t="s">
        <v>7</v>
      </c>
      <c r="B4">
        <v>0.069829</v>
      </c>
      <c r="C4">
        <v>0.091747</v>
      </c>
      <c r="D4">
        <v>0.034083</v>
      </c>
      <c r="E4">
        <v>0.041494</v>
      </c>
      <c r="F4">
        <v>0.073228</v>
      </c>
      <c r="G4">
        <v>0.084644</v>
      </c>
    </row>
    <row r="5" spans="1:7">
      <c r="A5" t="s">
        <v>8</v>
      </c>
      <c r="B5">
        <v>0.053819</v>
      </c>
      <c r="C5">
        <v>0.078774</v>
      </c>
      <c r="D5">
        <v>0.027512</v>
      </c>
      <c r="E5">
        <v>0.037016</v>
      </c>
      <c r="F5">
        <v>0.042088</v>
      </c>
      <c r="G5">
        <v>0.052144</v>
      </c>
    </row>
    <row r="6" spans="1:7">
      <c r="A6" t="s">
        <v>9</v>
      </c>
      <c r="B6">
        <v>0.021001</v>
      </c>
      <c r="C6">
        <v>0.02575</v>
      </c>
      <c r="D6">
        <v>0.031941</v>
      </c>
      <c r="E6">
        <v>0.043618</v>
      </c>
      <c r="F6">
        <v>0.022501</v>
      </c>
      <c r="G6">
        <v>0.027671</v>
      </c>
    </row>
    <row r="7" spans="1:7">
      <c r="A7" t="s">
        <v>10</v>
      </c>
      <c r="B7">
        <v>0.024996</v>
      </c>
      <c r="C7">
        <v>0.031433</v>
      </c>
      <c r="D7">
        <v>0.020544</v>
      </c>
      <c r="E7">
        <v>0.026561</v>
      </c>
      <c r="F7">
        <v>0.030477</v>
      </c>
      <c r="G7">
        <v>0.039388</v>
      </c>
    </row>
    <row r="8" spans="1:7">
      <c r="A8" t="s">
        <v>11</v>
      </c>
      <c r="B8">
        <v>0.038511</v>
      </c>
      <c r="C8">
        <v>0.059776</v>
      </c>
      <c r="D8">
        <v>0.026347</v>
      </c>
      <c r="E8">
        <v>0.033908</v>
      </c>
      <c r="F8">
        <v>0.031904</v>
      </c>
      <c r="G8">
        <v>0.039185</v>
      </c>
    </row>
    <row r="9" spans="1:7">
      <c r="A9" t="s">
        <v>12</v>
      </c>
      <c r="B9">
        <v>0.025677</v>
      </c>
      <c r="C9">
        <v>0.030494</v>
      </c>
      <c r="D9">
        <v>0.020454</v>
      </c>
      <c r="E9">
        <v>0.025749</v>
      </c>
      <c r="F9">
        <v>0.034937</v>
      </c>
      <c r="G9">
        <v>0.041772</v>
      </c>
    </row>
    <row r="10" spans="1:7">
      <c r="A10" t="s">
        <v>13</v>
      </c>
      <c r="B10">
        <v>0.068684</v>
      </c>
      <c r="C10">
        <v>0.098724</v>
      </c>
      <c r="D10">
        <v>0.048265</v>
      </c>
      <c r="E10">
        <v>0.062398</v>
      </c>
      <c r="F10">
        <v>0.058773</v>
      </c>
      <c r="G10">
        <v>0.07547</v>
      </c>
    </row>
    <row r="11" spans="1:7">
      <c r="A11" t="s">
        <v>14</v>
      </c>
      <c r="B11">
        <v>0.020536</v>
      </c>
      <c r="C11">
        <v>0.027356</v>
      </c>
      <c r="D11">
        <v>0.016925</v>
      </c>
      <c r="E11">
        <v>0.02247</v>
      </c>
      <c r="F11">
        <v>0.026771</v>
      </c>
      <c r="G11">
        <v>0.034138</v>
      </c>
    </row>
    <row r="12" spans="1:7">
      <c r="A12" t="s">
        <v>15</v>
      </c>
      <c r="B12">
        <v>0.037463</v>
      </c>
      <c r="C12">
        <v>0.048307</v>
      </c>
      <c r="D12">
        <v>0.032014</v>
      </c>
      <c r="E12">
        <v>0.039688</v>
      </c>
      <c r="F12">
        <v>0.093974</v>
      </c>
      <c r="G12">
        <v>0.101109</v>
      </c>
    </row>
    <row r="13" spans="1:7">
      <c r="A13" t="s">
        <v>16</v>
      </c>
      <c r="B13">
        <v>0.032526</v>
      </c>
      <c r="C13">
        <v>0.044739</v>
      </c>
      <c r="D13">
        <v>0.023955</v>
      </c>
      <c r="E13">
        <v>0.030613</v>
      </c>
      <c r="F13">
        <v>0.042612</v>
      </c>
      <c r="G13">
        <v>0.052884</v>
      </c>
    </row>
    <row r="14" spans="1:7">
      <c r="A14" t="s">
        <v>17</v>
      </c>
      <c r="B14">
        <v>0.028246</v>
      </c>
      <c r="C14">
        <v>0.036255</v>
      </c>
      <c r="D14">
        <v>0.028229</v>
      </c>
      <c r="E14">
        <v>0.040432</v>
      </c>
      <c r="F14">
        <v>0.030746</v>
      </c>
      <c r="G14">
        <v>0.03621</v>
      </c>
    </row>
    <row r="15" spans="1:7">
      <c r="A15" t="s">
        <v>18</v>
      </c>
      <c r="B15">
        <v>0.02641</v>
      </c>
      <c r="C15">
        <v>0.031624</v>
      </c>
      <c r="D15">
        <v>0.029204</v>
      </c>
      <c r="E15">
        <v>0.042442</v>
      </c>
      <c r="F15">
        <v>0.027259</v>
      </c>
      <c r="G15">
        <v>0.031943</v>
      </c>
    </row>
    <row r="16" spans="1:7">
      <c r="A16" t="s">
        <v>19</v>
      </c>
      <c r="B16">
        <v>0.019899</v>
      </c>
      <c r="C16">
        <v>0.023386</v>
      </c>
      <c r="D16">
        <v>0.016508</v>
      </c>
      <c r="E16">
        <v>0.021146</v>
      </c>
      <c r="F16">
        <v>0.026262</v>
      </c>
      <c r="G16">
        <v>0.035194</v>
      </c>
    </row>
    <row r="17" spans="1:7">
      <c r="A17" t="s">
        <v>20</v>
      </c>
      <c r="B17">
        <v>0.026137</v>
      </c>
      <c r="C17">
        <v>0.03378</v>
      </c>
      <c r="D17">
        <v>0.020623</v>
      </c>
      <c r="E17">
        <v>0.026295</v>
      </c>
      <c r="F17">
        <v>0.042667</v>
      </c>
      <c r="G17">
        <v>0.049596</v>
      </c>
    </row>
    <row r="18" spans="1:7">
      <c r="A18" t="s">
        <v>21</v>
      </c>
      <c r="B18">
        <v>0.049896</v>
      </c>
      <c r="C18">
        <v>0.064202</v>
      </c>
      <c r="D18">
        <v>0.035017</v>
      </c>
      <c r="E18">
        <v>0.047397</v>
      </c>
      <c r="F18">
        <v>0.053906</v>
      </c>
      <c r="G18">
        <v>0.073261</v>
      </c>
    </row>
    <row r="19" spans="1:7">
      <c r="A19" t="s">
        <v>22</v>
      </c>
      <c r="B19">
        <v>0.025635</v>
      </c>
      <c r="C19">
        <v>0.033583</v>
      </c>
      <c r="D19">
        <v>0.028923</v>
      </c>
      <c r="E19">
        <v>0.041845</v>
      </c>
      <c r="F19">
        <v>0.044123</v>
      </c>
      <c r="G19">
        <v>0.056494</v>
      </c>
    </row>
    <row r="20" spans="1:7">
      <c r="A20" t="s">
        <v>23</v>
      </c>
      <c r="B20">
        <v>0.051459</v>
      </c>
      <c r="C20">
        <v>0.064957</v>
      </c>
      <c r="D20">
        <v>0.036542</v>
      </c>
      <c r="E20">
        <v>0.044148</v>
      </c>
      <c r="F20">
        <v>0.043425</v>
      </c>
      <c r="G20">
        <v>0.054791</v>
      </c>
    </row>
    <row r="21" spans="1:7">
      <c r="A21" s="2" t="s">
        <v>24</v>
      </c>
      <c r="B21">
        <f t="shared" ref="B21:G21" si="0">AVERAGE(B3:B20)</f>
        <v>0.0373635555555556</v>
      </c>
      <c r="C21">
        <f t="shared" si="0"/>
        <v>0.0493974444444445</v>
      </c>
      <c r="D21">
        <f t="shared" si="0"/>
        <v>0.0293508333333333</v>
      </c>
      <c r="E21">
        <f t="shared" si="0"/>
        <v>0.0383741111111111</v>
      </c>
      <c r="F21">
        <f t="shared" si="0"/>
        <v>0.0431023333333333</v>
      </c>
      <c r="G21">
        <f t="shared" si="0"/>
        <v>0.0531371666666667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workbookViewId="0">
      <selection activeCell="D24" sqref="D24"/>
    </sheetView>
  </sheetViews>
  <sheetFormatPr defaultColWidth="9" defaultRowHeight="14.4" outlineLevelCol="6"/>
  <cols>
    <col min="2" max="7" width="12.8888888888889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26</v>
      </c>
      <c r="B3">
        <v>0.032315</v>
      </c>
      <c r="C3">
        <v>0.043119</v>
      </c>
      <c r="D3">
        <v>0.026129</v>
      </c>
      <c r="E3">
        <v>0.036343</v>
      </c>
      <c r="F3">
        <v>0.030678</v>
      </c>
      <c r="G3">
        <v>0.037195</v>
      </c>
    </row>
    <row r="4" spans="1:7">
      <c r="A4" t="s">
        <v>27</v>
      </c>
      <c r="B4">
        <v>0.017156</v>
      </c>
      <c r="C4">
        <v>0.02209</v>
      </c>
      <c r="D4">
        <v>0.017591</v>
      </c>
      <c r="E4">
        <v>0.027458</v>
      </c>
      <c r="F4">
        <v>0.027096</v>
      </c>
      <c r="G4">
        <v>0.032881</v>
      </c>
    </row>
    <row r="5" spans="1:7">
      <c r="A5" t="s">
        <v>28</v>
      </c>
      <c r="B5">
        <v>0.022731</v>
      </c>
      <c r="C5">
        <v>0.030126</v>
      </c>
      <c r="D5">
        <v>0.022097</v>
      </c>
      <c r="E5">
        <v>0.030259</v>
      </c>
      <c r="F5">
        <v>0.035312</v>
      </c>
      <c r="G5">
        <v>0.04046</v>
      </c>
    </row>
    <row r="6" spans="1:7">
      <c r="A6" t="s">
        <v>29</v>
      </c>
      <c r="B6">
        <v>0.020256</v>
      </c>
      <c r="C6">
        <v>0.026651</v>
      </c>
      <c r="D6">
        <v>0.02135</v>
      </c>
      <c r="E6">
        <v>0.034151</v>
      </c>
      <c r="F6">
        <v>0.026654</v>
      </c>
      <c r="G6">
        <v>0.032714</v>
      </c>
    </row>
    <row r="7" spans="1:7">
      <c r="A7" t="s">
        <v>30</v>
      </c>
      <c r="B7">
        <v>0.053161</v>
      </c>
      <c r="C7">
        <v>0.068012</v>
      </c>
      <c r="D7">
        <v>0.0395</v>
      </c>
      <c r="E7">
        <v>0.047598</v>
      </c>
      <c r="F7">
        <v>0.067657</v>
      </c>
      <c r="G7">
        <v>0.0783</v>
      </c>
    </row>
    <row r="8" spans="1:7">
      <c r="A8" t="s">
        <v>31</v>
      </c>
      <c r="B8">
        <v>0.026283</v>
      </c>
      <c r="C8">
        <v>0.032909</v>
      </c>
      <c r="D8">
        <v>0.028678</v>
      </c>
      <c r="E8">
        <v>0.044957</v>
      </c>
      <c r="F8">
        <v>0.039219</v>
      </c>
      <c r="G8">
        <v>0.044967</v>
      </c>
    </row>
    <row r="9" spans="1:7">
      <c r="A9" t="s">
        <v>32</v>
      </c>
      <c r="B9">
        <v>0.026699</v>
      </c>
      <c r="C9">
        <v>0.036484</v>
      </c>
      <c r="D9">
        <v>0.022643</v>
      </c>
      <c r="E9">
        <v>0.029687</v>
      </c>
      <c r="F9">
        <v>0.028042</v>
      </c>
      <c r="G9">
        <v>0.034132</v>
      </c>
    </row>
    <row r="10" spans="1:7">
      <c r="A10" t="s">
        <v>33</v>
      </c>
      <c r="B10">
        <v>0.243841</v>
      </c>
      <c r="C10">
        <v>0.313588</v>
      </c>
      <c r="D10">
        <v>0.073848</v>
      </c>
      <c r="E10">
        <v>0.081395</v>
      </c>
      <c r="F10">
        <v>0.082124</v>
      </c>
      <c r="G10">
        <v>0.087559</v>
      </c>
    </row>
    <row r="11" spans="1:7">
      <c r="A11" t="s">
        <v>34</v>
      </c>
      <c r="B11">
        <v>0.037885</v>
      </c>
      <c r="C11">
        <v>0.054444</v>
      </c>
      <c r="D11">
        <v>0.029223</v>
      </c>
      <c r="E11">
        <v>0.045817</v>
      </c>
      <c r="F11">
        <v>0.036247</v>
      </c>
      <c r="G11">
        <v>0.050444</v>
      </c>
    </row>
    <row r="12" spans="1:7">
      <c r="A12" t="s">
        <v>35</v>
      </c>
      <c r="B12">
        <v>0.030864</v>
      </c>
      <c r="C12">
        <v>0.039462</v>
      </c>
      <c r="D12">
        <v>0.033659</v>
      </c>
      <c r="E12">
        <v>0.041384</v>
      </c>
      <c r="F12">
        <v>0.052884</v>
      </c>
      <c r="G12">
        <v>0.060687</v>
      </c>
    </row>
    <row r="13" spans="1:7">
      <c r="A13" t="s">
        <v>36</v>
      </c>
      <c r="B13">
        <v>0.041909</v>
      </c>
      <c r="C13">
        <v>0.053306</v>
      </c>
      <c r="D13">
        <v>0.034346</v>
      </c>
      <c r="E13">
        <v>0.046144</v>
      </c>
      <c r="F13">
        <v>0.058093</v>
      </c>
      <c r="G13">
        <v>0.067396</v>
      </c>
    </row>
    <row r="14" spans="1:7">
      <c r="A14" t="s">
        <v>37</v>
      </c>
      <c r="B14">
        <v>0.029446</v>
      </c>
      <c r="C14">
        <v>0.04121</v>
      </c>
      <c r="D14">
        <v>0.020858</v>
      </c>
      <c r="E14">
        <v>0.030008</v>
      </c>
      <c r="F14">
        <v>0.027171</v>
      </c>
      <c r="G14">
        <v>0.03373</v>
      </c>
    </row>
    <row r="15" spans="1:7">
      <c r="A15" t="s">
        <v>38</v>
      </c>
      <c r="B15">
        <v>0.031093</v>
      </c>
      <c r="C15">
        <v>0.049612</v>
      </c>
      <c r="D15">
        <v>0.0325</v>
      </c>
      <c r="E15">
        <v>0.042995</v>
      </c>
      <c r="F15">
        <v>0.033524</v>
      </c>
      <c r="G15">
        <v>0.044598</v>
      </c>
    </row>
    <row r="16" spans="1:7">
      <c r="A16" t="s">
        <v>39</v>
      </c>
      <c r="B16">
        <v>0.050728</v>
      </c>
      <c r="C16">
        <v>0.063271</v>
      </c>
      <c r="D16">
        <v>0.038242</v>
      </c>
      <c r="E16">
        <v>0.048609</v>
      </c>
      <c r="F16">
        <v>0.044009</v>
      </c>
      <c r="G16">
        <v>0.054044</v>
      </c>
    </row>
    <row r="17" spans="1:7">
      <c r="A17" t="s">
        <v>40</v>
      </c>
      <c r="B17">
        <v>0.015965</v>
      </c>
      <c r="C17">
        <v>0.022725</v>
      </c>
      <c r="D17">
        <v>0.01527</v>
      </c>
      <c r="E17">
        <v>0.024237</v>
      </c>
      <c r="F17">
        <v>0.020967</v>
      </c>
      <c r="G17">
        <v>0.02841</v>
      </c>
    </row>
    <row r="18" spans="1:7">
      <c r="A18" t="s">
        <v>41</v>
      </c>
      <c r="B18">
        <v>0.098931</v>
      </c>
      <c r="C18">
        <v>0.135961</v>
      </c>
      <c r="D18">
        <v>0.047201</v>
      </c>
      <c r="E18">
        <v>0.05918</v>
      </c>
      <c r="F18">
        <v>0.084462</v>
      </c>
      <c r="G18">
        <v>0.094635</v>
      </c>
    </row>
    <row r="19" spans="1:7">
      <c r="A19" t="s">
        <v>42</v>
      </c>
      <c r="B19">
        <v>0.364604</v>
      </c>
      <c r="C19">
        <v>0.442008</v>
      </c>
      <c r="D19">
        <v>0.050854</v>
      </c>
      <c r="E19">
        <v>0.064523</v>
      </c>
      <c r="F19">
        <v>0.133155</v>
      </c>
      <c r="G19">
        <v>0.149196</v>
      </c>
    </row>
    <row r="20" spans="1:7">
      <c r="A20" t="s">
        <v>43</v>
      </c>
      <c r="B20">
        <v>0.03873</v>
      </c>
      <c r="C20">
        <v>0.064722</v>
      </c>
      <c r="D20">
        <v>0.034639</v>
      </c>
      <c r="E20">
        <v>0.053572</v>
      </c>
      <c r="F20">
        <v>0.041898</v>
      </c>
      <c r="G20">
        <v>0.064514</v>
      </c>
    </row>
    <row r="21" spans="1:7">
      <c r="A21" t="s">
        <v>44</v>
      </c>
      <c r="B21">
        <v>0.029871</v>
      </c>
      <c r="C21">
        <v>0.038707</v>
      </c>
      <c r="D21">
        <v>0.032834</v>
      </c>
      <c r="E21">
        <v>0.039261</v>
      </c>
      <c r="F21">
        <v>0.042671</v>
      </c>
      <c r="G21">
        <v>0.04886</v>
      </c>
    </row>
    <row r="22" spans="1:7">
      <c r="A22" t="s">
        <v>45</v>
      </c>
      <c r="B22">
        <v>0.021574</v>
      </c>
      <c r="C22">
        <v>0.027902</v>
      </c>
      <c r="D22">
        <v>0.021472</v>
      </c>
      <c r="E22">
        <v>0.032939</v>
      </c>
      <c r="F22">
        <v>0.031105</v>
      </c>
      <c r="G22">
        <v>0.035659</v>
      </c>
    </row>
    <row r="23" spans="1:7">
      <c r="A23" t="s">
        <v>46</v>
      </c>
      <c r="B23">
        <v>0.045521</v>
      </c>
      <c r="C23">
        <v>0.057185</v>
      </c>
      <c r="D23">
        <v>0.03588</v>
      </c>
      <c r="E23">
        <v>0.057117</v>
      </c>
      <c r="F23">
        <v>0.054143</v>
      </c>
      <c r="G23">
        <v>0.058828</v>
      </c>
    </row>
    <row r="24" spans="1:7">
      <c r="A24" s="2" t="s">
        <v>24</v>
      </c>
      <c r="B24">
        <f t="shared" ref="B24:G24" si="0">AVERAGE(B3:B23)</f>
        <v>0.0609315714285714</v>
      </c>
      <c r="C24">
        <f t="shared" si="0"/>
        <v>0.079214</v>
      </c>
      <c r="D24">
        <f t="shared" si="0"/>
        <v>0.0323244761904762</v>
      </c>
      <c r="E24">
        <f t="shared" si="0"/>
        <v>0.0436968571428571</v>
      </c>
      <c r="F24">
        <f t="shared" si="0"/>
        <v>0.0474814761904762</v>
      </c>
      <c r="G24">
        <f t="shared" si="0"/>
        <v>0.0561528095238095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tabSelected="1" workbookViewId="0">
      <selection activeCell="B3" sqref="B3:G4"/>
    </sheetView>
  </sheetViews>
  <sheetFormatPr defaultColWidth="9" defaultRowHeight="14.4" outlineLevelRow="4" outlineLevelCol="6"/>
  <cols>
    <col min="2" max="3" width="10.6666666666667"/>
    <col min="5" max="5" width="9.66666666666667"/>
    <col min="6" max="7" width="10.6666666666667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47</v>
      </c>
      <c r="B3">
        <v>0.027326</v>
      </c>
      <c r="C3">
        <v>0.034033</v>
      </c>
      <c r="D3">
        <v>0.032597</v>
      </c>
      <c r="E3">
        <v>0.040026</v>
      </c>
      <c r="F3">
        <v>0.052571</v>
      </c>
      <c r="G3">
        <v>0.059962</v>
      </c>
    </row>
    <row r="4" spans="1:7">
      <c r="A4" t="s">
        <v>48</v>
      </c>
      <c r="B4">
        <v>0.023093</v>
      </c>
      <c r="C4">
        <v>0.031214</v>
      </c>
      <c r="D4">
        <v>0.025925</v>
      </c>
      <c r="E4">
        <v>0.035829</v>
      </c>
      <c r="F4">
        <v>0.029085</v>
      </c>
      <c r="G4">
        <v>0.035675</v>
      </c>
    </row>
    <row r="5" spans="1:7">
      <c r="A5" s="2" t="s">
        <v>24</v>
      </c>
      <c r="B5">
        <f t="shared" ref="B5:G5" si="0">AVERAGE(B3:B4)</f>
        <v>0.0252095</v>
      </c>
      <c r="C5">
        <f t="shared" si="0"/>
        <v>0.0326235</v>
      </c>
      <c r="D5">
        <f t="shared" si="0"/>
        <v>0.029261</v>
      </c>
      <c r="E5">
        <f t="shared" si="0"/>
        <v>0.0379275</v>
      </c>
      <c r="F5">
        <f t="shared" si="0"/>
        <v>0.040828</v>
      </c>
      <c r="G5">
        <f t="shared" si="0"/>
        <v>0.0478185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B11" sqref="B11:G11"/>
    </sheetView>
  </sheetViews>
  <sheetFormatPr defaultColWidth="8.88888888888889" defaultRowHeight="14.4" outlineLevelCol="6"/>
  <cols>
    <col min="2" max="2" width="11.7777777777778"/>
    <col min="3" max="3" width="12.8888888888889"/>
    <col min="4" max="4" width="10.6666666666667"/>
    <col min="5" max="5" width="9.66666666666667"/>
    <col min="6" max="6" width="10.6666666666667"/>
    <col min="7" max="7" width="12.8888888888889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49</v>
      </c>
      <c r="B3">
        <v>0.045793</v>
      </c>
      <c r="C3">
        <v>0.059162</v>
      </c>
      <c r="D3">
        <v>0.035461</v>
      </c>
      <c r="E3">
        <v>0.046702</v>
      </c>
      <c r="F3">
        <v>0.040707</v>
      </c>
      <c r="G3">
        <v>0.050499</v>
      </c>
    </row>
    <row r="4" spans="1:7">
      <c r="A4" t="s">
        <v>50</v>
      </c>
      <c r="B4">
        <v>0.039294</v>
      </c>
      <c r="C4">
        <v>0.050628</v>
      </c>
      <c r="D4">
        <v>0.037621</v>
      </c>
      <c r="E4">
        <v>0.048316</v>
      </c>
      <c r="F4">
        <v>0.054373</v>
      </c>
      <c r="G4">
        <v>0.067636</v>
      </c>
    </row>
    <row r="5" spans="1:7">
      <c r="A5" t="s">
        <v>51</v>
      </c>
      <c r="B5">
        <v>0.031057</v>
      </c>
      <c r="C5">
        <v>0.039484</v>
      </c>
      <c r="D5">
        <v>0.035823</v>
      </c>
      <c r="E5">
        <v>0.0421</v>
      </c>
      <c r="F5">
        <v>0.090053</v>
      </c>
      <c r="G5">
        <v>0.096147</v>
      </c>
    </row>
    <row r="6" spans="1:7">
      <c r="A6" t="s">
        <v>52</v>
      </c>
      <c r="B6">
        <v>0.042109</v>
      </c>
      <c r="C6">
        <v>0.055689</v>
      </c>
      <c r="D6">
        <v>0.033572</v>
      </c>
      <c r="E6">
        <v>0.044135</v>
      </c>
      <c r="F6">
        <v>0.046698</v>
      </c>
      <c r="G6">
        <v>0.059898</v>
      </c>
    </row>
    <row r="7" spans="1:7">
      <c r="A7" t="s">
        <v>53</v>
      </c>
      <c r="B7">
        <v>0.054785</v>
      </c>
      <c r="C7">
        <v>0.071683</v>
      </c>
      <c r="D7">
        <v>0.048223</v>
      </c>
      <c r="E7">
        <v>0.062826</v>
      </c>
      <c r="F7">
        <v>0.038622</v>
      </c>
      <c r="G7">
        <v>0.052733</v>
      </c>
    </row>
    <row r="8" spans="1:7">
      <c r="A8" t="s">
        <v>54</v>
      </c>
      <c r="B8">
        <v>0.039965</v>
      </c>
      <c r="C8">
        <v>0.053552</v>
      </c>
      <c r="D8">
        <v>0.031864</v>
      </c>
      <c r="E8">
        <v>0.040647</v>
      </c>
      <c r="F8">
        <v>0.036789</v>
      </c>
      <c r="G8">
        <v>0.048832</v>
      </c>
    </row>
    <row r="9" spans="1:7">
      <c r="A9" t="s">
        <v>55</v>
      </c>
      <c r="B9">
        <v>0.047008</v>
      </c>
      <c r="C9">
        <v>0.062928</v>
      </c>
      <c r="D9">
        <v>0.040279</v>
      </c>
      <c r="E9">
        <v>0.053323</v>
      </c>
      <c r="F9">
        <v>0.046166</v>
      </c>
      <c r="G9">
        <v>0.062566</v>
      </c>
    </row>
    <row r="10" spans="1:7">
      <c r="A10" t="s">
        <v>56</v>
      </c>
      <c r="B10">
        <v>0.059207</v>
      </c>
      <c r="C10">
        <v>0.074563</v>
      </c>
      <c r="D10">
        <v>0.044489</v>
      </c>
      <c r="E10">
        <v>0.056087</v>
      </c>
      <c r="F10">
        <v>0.059476</v>
      </c>
      <c r="G10">
        <v>0.070782</v>
      </c>
    </row>
    <row r="11" spans="1:7">
      <c r="A11" s="2" t="s">
        <v>24</v>
      </c>
      <c r="B11">
        <f t="shared" ref="B11:G11" si="0">AVERAGE(B3:B10)</f>
        <v>0.04490225</v>
      </c>
      <c r="C11">
        <f t="shared" si="0"/>
        <v>0.058461125</v>
      </c>
      <c r="D11">
        <f t="shared" si="0"/>
        <v>0.0384165</v>
      </c>
      <c r="E11">
        <f t="shared" si="0"/>
        <v>0.049267</v>
      </c>
      <c r="F11">
        <f t="shared" si="0"/>
        <v>0.0516105</v>
      </c>
      <c r="G11">
        <f t="shared" si="0"/>
        <v>0.063636625</v>
      </c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2"/>
  <sheetViews>
    <sheetView workbookViewId="0">
      <selection activeCell="K11" sqref="K11"/>
    </sheetView>
  </sheetViews>
  <sheetFormatPr defaultColWidth="8.88888888888889" defaultRowHeight="14.4" outlineLevelCol="6"/>
  <cols>
    <col min="2" max="3" width="12.8888888888889"/>
    <col min="4" max="4" width="9.66666666666667"/>
    <col min="5" max="6" width="12.8888888888889"/>
    <col min="7" max="7" width="9.66666666666667"/>
  </cols>
  <sheetData>
    <row r="1" spans="1:7">
      <c r="A1" s="1" t="s">
        <v>25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57</v>
      </c>
      <c r="B3">
        <v>0.040503</v>
      </c>
      <c r="C3">
        <v>0.055156</v>
      </c>
      <c r="D3">
        <v>0.035515</v>
      </c>
      <c r="E3">
        <v>0.047807</v>
      </c>
      <c r="F3">
        <v>0.042969</v>
      </c>
      <c r="G3">
        <v>0.058642</v>
      </c>
    </row>
    <row r="4" spans="1:7">
      <c r="A4" t="s">
        <v>58</v>
      </c>
      <c r="B4">
        <v>0.025521</v>
      </c>
      <c r="C4">
        <v>0.033898</v>
      </c>
      <c r="D4">
        <v>0.016322</v>
      </c>
      <c r="E4">
        <v>0.024029</v>
      </c>
      <c r="F4">
        <v>0.020485</v>
      </c>
      <c r="G4">
        <v>0.027568</v>
      </c>
    </row>
    <row r="5" spans="1:7">
      <c r="A5" t="s">
        <v>59</v>
      </c>
      <c r="B5">
        <v>0.04144</v>
      </c>
      <c r="C5">
        <v>0.055089</v>
      </c>
      <c r="D5">
        <v>0.024938</v>
      </c>
      <c r="E5">
        <v>0.034655</v>
      </c>
      <c r="F5">
        <v>0.040509</v>
      </c>
      <c r="G5">
        <v>0.054351</v>
      </c>
    </row>
    <row r="6" spans="1:7">
      <c r="A6" t="s">
        <v>60</v>
      </c>
      <c r="B6">
        <v>0.049566</v>
      </c>
      <c r="C6">
        <v>0.069038</v>
      </c>
      <c r="D6">
        <v>0.038196</v>
      </c>
      <c r="E6">
        <v>0.054684</v>
      </c>
      <c r="F6">
        <v>0.045495</v>
      </c>
      <c r="G6">
        <v>0.061627</v>
      </c>
    </row>
    <row r="7" spans="1:7">
      <c r="A7" t="s">
        <v>61</v>
      </c>
      <c r="B7">
        <v>0.033517</v>
      </c>
      <c r="C7">
        <v>0.04444</v>
      </c>
      <c r="D7">
        <v>0.020694</v>
      </c>
      <c r="E7">
        <v>0.027817</v>
      </c>
      <c r="F7">
        <v>0.031158</v>
      </c>
      <c r="G7">
        <v>0.039133</v>
      </c>
    </row>
    <row r="8" spans="1:7">
      <c r="A8" t="s">
        <v>62</v>
      </c>
      <c r="B8">
        <v>0.054337</v>
      </c>
      <c r="C8">
        <v>0.078972</v>
      </c>
      <c r="D8">
        <v>0.062708</v>
      </c>
      <c r="E8">
        <v>0.086461</v>
      </c>
      <c r="F8">
        <v>0.053322</v>
      </c>
      <c r="G8">
        <v>0.074207</v>
      </c>
    </row>
    <row r="9" spans="1:7">
      <c r="A9" t="s">
        <v>63</v>
      </c>
      <c r="B9">
        <v>0.044063</v>
      </c>
      <c r="C9">
        <v>0.061322</v>
      </c>
      <c r="D9">
        <v>0.028026</v>
      </c>
      <c r="E9">
        <v>0.035326</v>
      </c>
      <c r="F9">
        <v>0.033986</v>
      </c>
      <c r="G9">
        <v>0.041701</v>
      </c>
    </row>
    <row r="10" spans="1:7">
      <c r="A10" t="s">
        <v>64</v>
      </c>
      <c r="B10">
        <v>0.022298</v>
      </c>
      <c r="C10">
        <v>0.030163</v>
      </c>
      <c r="D10">
        <v>0.015309</v>
      </c>
      <c r="E10">
        <v>0.019672</v>
      </c>
      <c r="F10">
        <v>0.021808</v>
      </c>
      <c r="G10">
        <v>0.026409</v>
      </c>
    </row>
    <row r="11" spans="1:7">
      <c r="A11" t="s">
        <v>65</v>
      </c>
      <c r="B11">
        <v>0.054183</v>
      </c>
      <c r="C11">
        <v>0.075524</v>
      </c>
      <c r="D11">
        <v>0.043806</v>
      </c>
      <c r="E11">
        <v>0.064718</v>
      </c>
      <c r="F11">
        <v>0.054238</v>
      </c>
      <c r="G11">
        <v>0.077868</v>
      </c>
    </row>
    <row r="12" spans="1:7">
      <c r="A12" t="s">
        <v>66</v>
      </c>
      <c r="B12">
        <v>0.043376</v>
      </c>
      <c r="C12">
        <v>0.061798</v>
      </c>
      <c r="D12">
        <v>0.044917</v>
      </c>
      <c r="E12">
        <v>0.060186</v>
      </c>
      <c r="F12">
        <v>0.054896</v>
      </c>
      <c r="G12">
        <v>0.073755</v>
      </c>
    </row>
    <row r="13" spans="1:7">
      <c r="A13" t="s">
        <v>67</v>
      </c>
      <c r="B13">
        <v>0.032805</v>
      </c>
      <c r="C13">
        <v>0.04366</v>
      </c>
      <c r="D13">
        <v>0.025816</v>
      </c>
      <c r="E13">
        <v>0.034676</v>
      </c>
      <c r="F13">
        <v>0.027288</v>
      </c>
      <c r="G13">
        <v>0.035468</v>
      </c>
    </row>
    <row r="14" spans="1:7">
      <c r="A14" t="s">
        <v>68</v>
      </c>
      <c r="B14">
        <v>0.04593</v>
      </c>
      <c r="C14">
        <v>0.059846</v>
      </c>
      <c r="D14">
        <v>0.035025</v>
      </c>
      <c r="E14">
        <v>0.046148</v>
      </c>
      <c r="F14">
        <v>0.041598</v>
      </c>
      <c r="G14">
        <v>0.05525</v>
      </c>
    </row>
    <row r="15" spans="1:7">
      <c r="A15" t="s">
        <v>69</v>
      </c>
      <c r="B15">
        <v>0.041786</v>
      </c>
      <c r="C15">
        <v>0.059262</v>
      </c>
      <c r="D15">
        <v>0.029932</v>
      </c>
      <c r="E15">
        <v>0.040304</v>
      </c>
      <c r="F15">
        <v>0.044333</v>
      </c>
      <c r="G15">
        <v>0.060159</v>
      </c>
    </row>
    <row r="16" spans="1:7">
      <c r="A16" t="s">
        <v>70</v>
      </c>
      <c r="B16">
        <v>0.049081</v>
      </c>
      <c r="C16">
        <v>0.072283</v>
      </c>
      <c r="D16">
        <v>0.032837</v>
      </c>
      <c r="E16">
        <v>0.043989</v>
      </c>
      <c r="F16">
        <v>0.045175</v>
      </c>
      <c r="G16">
        <v>0.060629</v>
      </c>
    </row>
    <row r="17" spans="1:7">
      <c r="A17" t="s">
        <v>71</v>
      </c>
      <c r="B17">
        <v>0.052802</v>
      </c>
      <c r="C17">
        <v>0.074399</v>
      </c>
      <c r="D17">
        <v>0.053692</v>
      </c>
      <c r="E17">
        <v>0.073702</v>
      </c>
      <c r="F17">
        <v>0.05139</v>
      </c>
      <c r="G17">
        <v>0.068429</v>
      </c>
    </row>
    <row r="18" spans="1:7">
      <c r="A18" t="s">
        <v>72</v>
      </c>
      <c r="B18">
        <v>0.046002</v>
      </c>
      <c r="C18">
        <v>0.061247</v>
      </c>
      <c r="D18">
        <v>0.024815</v>
      </c>
      <c r="E18">
        <v>0.032796</v>
      </c>
      <c r="F18">
        <v>0.047891</v>
      </c>
      <c r="G18">
        <v>0.064127</v>
      </c>
    </row>
    <row r="19" spans="1:7">
      <c r="A19" t="s">
        <v>73</v>
      </c>
      <c r="B19">
        <v>0.048343</v>
      </c>
      <c r="C19">
        <v>0.07003</v>
      </c>
      <c r="D19">
        <v>0.034362</v>
      </c>
      <c r="E19">
        <v>0.046857</v>
      </c>
      <c r="F19">
        <v>0.045207</v>
      </c>
      <c r="G19">
        <v>0.063476</v>
      </c>
    </row>
    <row r="20" spans="1:7">
      <c r="A20" t="s">
        <v>74</v>
      </c>
      <c r="B20">
        <v>0.045464</v>
      </c>
      <c r="C20">
        <v>0.063429</v>
      </c>
      <c r="D20">
        <v>0.034407</v>
      </c>
      <c r="E20">
        <v>0.047119</v>
      </c>
      <c r="F20">
        <v>0.045435</v>
      </c>
      <c r="G20">
        <v>0.060449</v>
      </c>
    </row>
    <row r="21" spans="1:7">
      <c r="A21" t="s">
        <v>75</v>
      </c>
      <c r="B21">
        <v>0.0447</v>
      </c>
      <c r="C21">
        <v>0.064863</v>
      </c>
      <c r="D21">
        <v>0.032086</v>
      </c>
      <c r="E21">
        <v>0.042543</v>
      </c>
      <c r="F21">
        <v>0.045482</v>
      </c>
      <c r="G21">
        <v>0.064172</v>
      </c>
    </row>
    <row r="22" spans="1:7">
      <c r="A22" s="2" t="s">
        <v>24</v>
      </c>
      <c r="B22">
        <f t="shared" ref="B22:G22" si="0">AVERAGE(B3:B21)</f>
        <v>0.0429324736842105</v>
      </c>
      <c r="C22">
        <f t="shared" si="0"/>
        <v>0.0597062631578947</v>
      </c>
      <c r="D22">
        <f t="shared" si="0"/>
        <v>0.033337</v>
      </c>
      <c r="E22">
        <f t="shared" si="0"/>
        <v>0.0454467894736842</v>
      </c>
      <c r="F22">
        <f t="shared" si="0"/>
        <v>0.0417192105263158</v>
      </c>
      <c r="G22">
        <f t="shared" si="0"/>
        <v>0.05618</v>
      </c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B17" sqref="B17:G17"/>
    </sheetView>
  </sheetViews>
  <sheetFormatPr defaultColWidth="8.88888888888889" defaultRowHeight="14.4" outlineLevelCol="6"/>
  <cols>
    <col min="2" max="6" width="12.8888888888889"/>
    <col min="7" max="7" width="10.6666666666667"/>
  </cols>
  <sheetData>
    <row r="1" spans="1:7">
      <c r="A1" s="1" t="s">
        <v>0</v>
      </c>
      <c r="B1" s="1" t="s">
        <v>1</v>
      </c>
      <c r="C1" s="1"/>
      <c r="D1" s="1" t="s">
        <v>2</v>
      </c>
      <c r="E1" s="1"/>
      <c r="F1" s="1" t="s">
        <v>3</v>
      </c>
      <c r="G1" s="1"/>
    </row>
    <row r="2" spans="1:7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4</v>
      </c>
      <c r="G2" s="1" t="s">
        <v>5</v>
      </c>
    </row>
    <row r="3" spans="1:7">
      <c r="A3" t="s">
        <v>76</v>
      </c>
      <c r="B3">
        <v>0.102531</v>
      </c>
      <c r="C3">
        <v>0.124876</v>
      </c>
      <c r="D3">
        <v>0.08231</v>
      </c>
      <c r="E3">
        <v>0.096591</v>
      </c>
      <c r="F3">
        <v>0.100331</v>
      </c>
      <c r="G3">
        <v>0.112438</v>
      </c>
    </row>
    <row r="4" spans="1:7">
      <c r="A4" t="s">
        <v>77</v>
      </c>
      <c r="B4">
        <v>0.025317</v>
      </c>
      <c r="C4">
        <v>0.032266</v>
      </c>
      <c r="D4">
        <v>0.016633</v>
      </c>
      <c r="E4">
        <v>0.021624</v>
      </c>
      <c r="F4">
        <v>0.028177</v>
      </c>
      <c r="G4">
        <v>0.034148</v>
      </c>
    </row>
    <row r="5" spans="1:7">
      <c r="A5" t="s">
        <v>78</v>
      </c>
      <c r="B5">
        <v>0.058045</v>
      </c>
      <c r="C5">
        <v>0.062989</v>
      </c>
      <c r="D5">
        <v>0.024798</v>
      </c>
      <c r="E5">
        <v>0.029775</v>
      </c>
      <c r="F5">
        <v>0.028795</v>
      </c>
      <c r="G5">
        <v>0.035466</v>
      </c>
    </row>
    <row r="6" spans="1:7">
      <c r="A6" t="s">
        <v>79</v>
      </c>
      <c r="B6">
        <v>0.049318</v>
      </c>
      <c r="C6">
        <v>0.066119</v>
      </c>
      <c r="D6">
        <v>0.031701</v>
      </c>
      <c r="E6">
        <v>0.039163</v>
      </c>
      <c r="F6">
        <v>0.036015</v>
      </c>
      <c r="G6">
        <v>0.042964</v>
      </c>
    </row>
    <row r="7" spans="1:7">
      <c r="A7" t="s">
        <v>80</v>
      </c>
      <c r="B7">
        <v>0.043914</v>
      </c>
      <c r="C7">
        <v>0.058737</v>
      </c>
      <c r="D7">
        <v>0.026788</v>
      </c>
      <c r="E7">
        <v>0.033553</v>
      </c>
      <c r="F7">
        <v>0.046697</v>
      </c>
      <c r="G7">
        <v>0.056497</v>
      </c>
    </row>
    <row r="8" spans="1:7">
      <c r="A8" t="s">
        <v>81</v>
      </c>
      <c r="B8">
        <v>0.035422</v>
      </c>
      <c r="C8">
        <v>0.049358</v>
      </c>
      <c r="D8">
        <v>0.026174</v>
      </c>
      <c r="E8">
        <v>0.036301</v>
      </c>
      <c r="F8">
        <v>0.058015</v>
      </c>
      <c r="G8">
        <v>0.063519</v>
      </c>
    </row>
    <row r="9" spans="1:7">
      <c r="A9" t="s">
        <v>82</v>
      </c>
      <c r="B9">
        <v>0.059672</v>
      </c>
      <c r="C9">
        <v>0.074922</v>
      </c>
      <c r="D9">
        <v>0.023541</v>
      </c>
      <c r="E9">
        <v>0.029561</v>
      </c>
      <c r="F9">
        <v>0.044719</v>
      </c>
      <c r="G9">
        <v>0.055209</v>
      </c>
    </row>
    <row r="10" spans="1:7">
      <c r="A10" t="s">
        <v>83</v>
      </c>
      <c r="B10">
        <v>0.039012</v>
      </c>
      <c r="C10">
        <v>0.049701</v>
      </c>
      <c r="D10">
        <v>0.03085</v>
      </c>
      <c r="E10">
        <v>0.038128</v>
      </c>
      <c r="F10">
        <v>0.050901</v>
      </c>
      <c r="G10">
        <v>0.059793</v>
      </c>
    </row>
    <row r="11" spans="1:7">
      <c r="A11" t="s">
        <v>84</v>
      </c>
      <c r="B11">
        <v>0.032052</v>
      </c>
      <c r="C11">
        <v>0.039869</v>
      </c>
      <c r="D11">
        <v>0.022936</v>
      </c>
      <c r="E11">
        <v>0.029827</v>
      </c>
      <c r="F11">
        <v>0.025193</v>
      </c>
      <c r="G11">
        <v>0.030933</v>
      </c>
    </row>
    <row r="12" spans="1:7">
      <c r="A12" t="s">
        <v>85</v>
      </c>
      <c r="B12">
        <v>0.034698</v>
      </c>
      <c r="C12">
        <v>0.040882</v>
      </c>
      <c r="D12">
        <v>0.028393</v>
      </c>
      <c r="E12">
        <v>0.036281</v>
      </c>
      <c r="F12">
        <v>0.030701</v>
      </c>
      <c r="G12">
        <v>0.038562</v>
      </c>
    </row>
    <row r="13" spans="1:7">
      <c r="A13" t="s">
        <v>86</v>
      </c>
      <c r="B13">
        <v>0.044224</v>
      </c>
      <c r="C13">
        <v>0.059352</v>
      </c>
      <c r="D13">
        <v>0.027375</v>
      </c>
      <c r="E13">
        <v>0.03384</v>
      </c>
      <c r="F13">
        <v>0.041418</v>
      </c>
      <c r="G13">
        <v>0.050678</v>
      </c>
    </row>
    <row r="14" spans="1:7">
      <c r="A14" t="s">
        <v>87</v>
      </c>
      <c r="B14">
        <v>0.02961</v>
      </c>
      <c r="C14">
        <v>0.040922</v>
      </c>
      <c r="D14">
        <v>0.014626</v>
      </c>
      <c r="E14">
        <v>0.019899</v>
      </c>
      <c r="F14">
        <v>0.032904</v>
      </c>
      <c r="G14">
        <v>0.040494</v>
      </c>
    </row>
    <row r="15" spans="1:7">
      <c r="A15" t="s">
        <v>88</v>
      </c>
      <c r="B15">
        <v>0.075374</v>
      </c>
      <c r="C15">
        <v>0.097698</v>
      </c>
      <c r="D15">
        <v>0.036895</v>
      </c>
      <c r="E15">
        <v>0.049719</v>
      </c>
      <c r="F15">
        <v>0.112909</v>
      </c>
      <c r="G15">
        <v>0.12483</v>
      </c>
    </row>
    <row r="16" spans="1:7">
      <c r="A16" t="s">
        <v>89</v>
      </c>
      <c r="B16">
        <v>0.039505</v>
      </c>
      <c r="C16">
        <v>0.046728</v>
      </c>
      <c r="D16">
        <v>0.029775</v>
      </c>
      <c r="E16">
        <v>0.039063</v>
      </c>
      <c r="F16">
        <v>0.037658</v>
      </c>
      <c r="G16">
        <v>0.044664</v>
      </c>
    </row>
    <row r="17" spans="1:7">
      <c r="A17" s="2" t="s">
        <v>24</v>
      </c>
      <c r="B17">
        <f t="shared" ref="B17:G17" si="0">AVERAGE(B3:B16)</f>
        <v>0.0477638571428571</v>
      </c>
      <c r="C17">
        <f t="shared" si="0"/>
        <v>0.0603156428571429</v>
      </c>
      <c r="D17">
        <f t="shared" si="0"/>
        <v>0.0301996428571429</v>
      </c>
      <c r="E17">
        <f t="shared" si="0"/>
        <v>0.0380946428571429</v>
      </c>
      <c r="F17">
        <f t="shared" si="0"/>
        <v>0.0481737857142857</v>
      </c>
      <c r="G17">
        <f t="shared" si="0"/>
        <v>0.0564425</v>
      </c>
    </row>
    <row r="21" spans="1:1">
      <c r="A21" s="2"/>
    </row>
  </sheetData>
  <mergeCells count="4">
    <mergeCell ref="B1:C1"/>
    <mergeCell ref="D1:E1"/>
    <mergeCell ref="F1:G1"/>
    <mergeCell ref="A1:A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欧洲</vt:lpstr>
      <vt:lpstr>广东</vt:lpstr>
      <vt:lpstr>印度</vt:lpstr>
      <vt:lpstr>德州</vt:lpstr>
      <vt:lpstr>PJM</vt:lpstr>
      <vt:lpstr>湖南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 Lu</dc:creator>
  <cp:lastModifiedBy>冲淡</cp:lastModifiedBy>
  <dcterms:created xsi:type="dcterms:W3CDTF">2023-05-12T11:15:00Z</dcterms:created>
  <dcterms:modified xsi:type="dcterms:W3CDTF">2025-09-05T13:25:24Z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D01A383DF3544A18BF4E428E43030353_12</vt:lpwstr>
  </property>
</Properties>
</file>