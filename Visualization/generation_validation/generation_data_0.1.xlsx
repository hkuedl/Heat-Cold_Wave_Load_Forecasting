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ersonal\博士论文\heatwave load forecasting\generation_data_proportion\"/>
    </mc:Choice>
  </mc:AlternateContent>
  <bookViews>
    <workbookView windowWidth="22188" windowHeight="9060"/>
  </bookViews>
  <sheets>
    <sheet name="欧洲" sheetId="1" r:id="rId1"/>
    <sheet name="广东" sheetId="2" r:id="rId2"/>
    <sheet name="印度" sheetId="3" r:id="rId3"/>
    <sheet name="德州" sheetId="4" r:id="rId4"/>
    <sheet name="PJM" sheetId="5" r:id="rId5"/>
    <sheet name="湖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<sst xmlns="http://schemas.openxmlformats.org/spreadsheetml/2006/main" count="112" uniqueCount="88">
  <si>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Counrty</t>
  </si>
  <si>
    <t>LSTM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</si>
  <si>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</si>
  <si>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</si>
  <si>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</si>
  <si>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</si>
  <si>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</si>
  <si>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</si>
  <si>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</si>
  <si>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</si>
  <si>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</si>
  <si>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</si>
  <si>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</si>
  <si>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</si>
  <si>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</si>
  <si>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</si>
  <si>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</si>
  <si>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</si>
  <si>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</si>
  <si>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</si>
  <si>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</si>
  <si>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</si>
  <si>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</si>
  <si>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Region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</si>
  <si>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</si>
  <si>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</si>
  <si>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</si>
  <si>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</si>
  <si>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</si>
  <si>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</si>
  <si>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</si>
  <si>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</si>
  <si>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</si>
  <si>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</si>
  <si>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</si>
  <si>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</si>
  <si>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</si>
  <si>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</si>
  <si>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</si>
  <si>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</si>
  <si>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</si>
  <si>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</si>
  <si>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</si>
  <si>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</si>
  <si>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</si>
  <si>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Delhi</t>
  </si>
  <si>
    <t>Maharashtra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</si>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</sst>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D1" sqref="D1:G21"/>
    </sheetView>
  </sheetViews>
  <sheetFormatPr defaultColWidth="9" defaultRowHeight="14.4" outlineLevelCol="6"/>
  <cols>
    <col min="2" max="7" width="12.8888888888889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</v>
      </c>
      <c r="B3">
        <v>0.051796</v>
      </c>
      <c r="C3">
        <v>0.065447</v>
      </c>
    </row>
    <row r="4" spans="1:7">
      <c r="A4" t="s">
        <v>5</v>
      </c>
      <c r="B4">
        <v>0.052488</v>
      </c>
      <c r="C4">
        <v>0.064882</v>
      </c>
    </row>
    <row r="5" spans="1:7">
      <c r="A5" t="s">
        <v>6</v>
      </c>
      <c r="B5">
        <v>0.029244</v>
      </c>
      <c r="C5">
        <v>0.040189</v>
      </c>
    </row>
    <row r="6" spans="1:7">
      <c r="A6" t="s">
        <v>7</v>
      </c>
      <c r="B6">
        <v>0.026199</v>
      </c>
      <c r="C6">
        <v>0.03506</v>
      </c>
    </row>
    <row r="7" spans="1:7">
      <c r="A7" t="s">
        <v>8</v>
      </c>
      <c r="B7">
        <v>0.021758</v>
      </c>
      <c r="C7">
        <v>0.028297</v>
      </c>
    </row>
    <row r="8" spans="1:7">
      <c r="A8" t="s">
        <v>9</v>
      </c>
      <c r="B8">
        <v>0.025213</v>
      </c>
      <c r="C8">
        <v>0.032446</v>
      </c>
    </row>
    <row r="9" spans="1:7">
      <c r="A9" t="s">
        <v>10</v>
      </c>
      <c r="B9">
        <v>0.020679</v>
      </c>
      <c r="C9">
        <v>0.025009</v>
      </c>
    </row>
    <row r="10" spans="1:7">
      <c r="A10" t="s">
        <v>11</v>
      </c>
      <c r="B10">
        <v>0.073</v>
      </c>
      <c r="C10">
        <v>0.102097</v>
      </c>
    </row>
    <row r="11" spans="1:7">
      <c r="A11" t="s">
        <v>12</v>
      </c>
      <c r="B11">
        <v>0.03114</v>
      </c>
      <c r="C11">
        <v>0.039411</v>
      </c>
    </row>
    <row r="12" spans="1:7">
      <c r="A12" t="s">
        <v>13</v>
      </c>
      <c r="B12">
        <v>0.040727</v>
      </c>
      <c r="C12">
        <v>0.049624</v>
      </c>
    </row>
    <row r="13" spans="1:7">
      <c r="A13" t="s">
        <v>14</v>
      </c>
      <c r="B13">
        <v>0.032901</v>
      </c>
      <c r="C13">
        <v>0.040827</v>
      </c>
    </row>
    <row r="14" spans="1:7">
      <c r="A14" t="s">
        <v>15</v>
      </c>
      <c r="B14">
        <v>0.026373</v>
      </c>
      <c r="C14">
        <v>0.035687</v>
      </c>
    </row>
    <row r="15" spans="1:7">
      <c r="A15" t="s">
        <v>16</v>
      </c>
      <c r="B15">
        <v>0.033661</v>
      </c>
      <c r="C15">
        <v>0.042285</v>
      </c>
    </row>
    <row r="16" spans="1:7">
      <c r="A16" t="s">
        <v>17</v>
      </c>
      <c r="B16">
        <v>0.013908</v>
      </c>
      <c r="C16">
        <v>0.017692</v>
      </c>
    </row>
    <row r="17" spans="1:3">
      <c r="A17" t="s">
        <v>18</v>
      </c>
      <c r="B17">
        <v>0.024867</v>
      </c>
      <c r="C17">
        <v>0.031725</v>
      </c>
    </row>
    <row r="18" spans="1:3">
      <c r="A18" t="s">
        <v>19</v>
      </c>
      <c r="B18">
        <v>0.032977</v>
      </c>
      <c r="C18">
        <v>0.044343</v>
      </c>
    </row>
    <row r="19" spans="1:3">
      <c r="A19" t="s">
        <v>20</v>
      </c>
      <c r="B19">
        <v>0.027064</v>
      </c>
      <c r="C19">
        <v>0.034009</v>
      </c>
    </row>
    <row r="20" spans="1:3">
      <c r="A20" t="s">
        <v>21</v>
      </c>
      <c r="B20">
        <v>0.031851</v>
      </c>
      <c r="C20">
        <v>0.038662</v>
      </c>
    </row>
    <row r="21" spans="1:3">
      <c r="A21" s="2" t="s">
        <v>22</v>
      </c>
      <c r="B21">
        <f xml:space="preserve">AVERAGE(B3:B20)</f>
        <v>0.0331025555555556</v>
      </c>
      <c r="C21">
        <f xml:space="preserve">AVERAGE(C3:C20)</f>
        <v>0.0426495555555556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1" sqref="D1:G24"/>
    </sheetView>
  </sheetViews>
  <sheetFormatPr defaultColWidth="9" defaultRowHeight="14.4" outlineLevelCol="6"/>
  <cols>
    <col min="2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24</v>
      </c>
      <c r="B3">
        <v>0.021133</v>
      </c>
      <c r="C3">
        <v>0.029724</v>
      </c>
    </row>
    <row r="4" spans="1:7">
      <c r="A4" t="s">
        <v>25</v>
      </c>
      <c r="B4">
        <v>0.017676</v>
      </c>
      <c r="C4">
        <v>0.026961</v>
      </c>
    </row>
    <row r="5" spans="1:7">
      <c r="A5" t="s">
        <v>26</v>
      </c>
      <c r="B5">
        <v>0.021562</v>
      </c>
      <c r="C5">
        <v>0.03141</v>
      </c>
    </row>
    <row r="6" spans="1:7">
      <c r="A6" t="s">
        <v>27</v>
      </c>
      <c r="B6">
        <v>0.022621</v>
      </c>
      <c r="C6">
        <v>0.035772</v>
      </c>
    </row>
    <row r="7" spans="1:7">
      <c r="A7" t="s">
        <v>28</v>
      </c>
      <c r="B7">
        <v>0.041286</v>
      </c>
      <c r="C7">
        <v>0.050156</v>
      </c>
    </row>
    <row r="8" spans="1:7">
      <c r="A8" t="s">
        <v>29</v>
      </c>
      <c r="B8">
        <v>0.027684</v>
      </c>
      <c r="C8">
        <v>0.039652</v>
      </c>
    </row>
    <row r="9" spans="1:7">
      <c r="A9" t="s">
        <v>30</v>
      </c>
      <c r="B9">
        <v>0.023755</v>
      </c>
      <c r="C9">
        <v>0.030646</v>
      </c>
    </row>
    <row r="10" spans="1:7">
      <c r="A10" t="s">
        <v>31</v>
      </c>
      <c r="B10">
        <v>0.049345</v>
      </c>
      <c r="C10">
        <v>0.059364</v>
      </c>
    </row>
    <row r="11" spans="1:7">
      <c r="A11" t="s">
        <v>32</v>
      </c>
      <c r="B11">
        <v>0.028953</v>
      </c>
      <c r="C11">
        <v>0.042533</v>
      </c>
    </row>
    <row r="12" spans="1:7">
      <c r="A12" t="s">
        <v>33</v>
      </c>
      <c r="B12">
        <v>0.031165</v>
      </c>
      <c r="C12">
        <v>0.038415</v>
      </c>
    </row>
    <row r="13" spans="1:7">
      <c r="A13" t="s">
        <v>34</v>
      </c>
      <c r="B13">
        <v>0.02934</v>
      </c>
      <c r="C13">
        <v>0.039681</v>
      </c>
    </row>
    <row r="14" spans="1:7">
      <c r="A14" t="s">
        <v>35</v>
      </c>
      <c r="B14">
        <v>0.023113</v>
      </c>
      <c r="C14">
        <v>0.031061</v>
      </c>
    </row>
    <row r="15" spans="1:7">
      <c r="A15" t="s">
        <v>36</v>
      </c>
      <c r="B15">
        <v>0.033178</v>
      </c>
      <c r="C15">
        <v>0.042137</v>
      </c>
    </row>
    <row r="16" spans="1:7">
      <c r="A16" t="s">
        <v>37</v>
      </c>
      <c r="B16">
        <v>0.039349</v>
      </c>
      <c r="C16">
        <v>0.049295</v>
      </c>
    </row>
    <row r="17" spans="1:3">
      <c r="A17" t="s">
        <v>38</v>
      </c>
      <c r="B17">
        <v>0.015059</v>
      </c>
      <c r="C17">
        <v>0.023034</v>
      </c>
    </row>
    <row r="18" spans="1:3">
      <c r="A18" t="s">
        <v>39</v>
      </c>
      <c r="B18">
        <v>0.055052</v>
      </c>
      <c r="C18">
        <v>0.067586</v>
      </c>
    </row>
    <row r="19" spans="1:3">
      <c r="A19" t="s">
        <v>40</v>
      </c>
      <c r="B19">
        <v>0.052994</v>
      </c>
      <c r="C19">
        <v>0.066371</v>
      </c>
    </row>
    <row r="20" spans="1:3">
      <c r="A20" t="s">
        <v>41</v>
      </c>
      <c r="B20">
        <v>0.03335</v>
      </c>
      <c r="C20">
        <v>0.053818</v>
      </c>
    </row>
    <row r="21" spans="1:3">
      <c r="A21" t="s">
        <v>42</v>
      </c>
      <c r="B21">
        <v>0.02835</v>
      </c>
      <c r="C21">
        <v>0.032645</v>
      </c>
    </row>
    <row r="22" spans="1:3">
      <c r="A22" t="s">
        <v>43</v>
      </c>
      <c r="B22">
        <v>0.027965</v>
      </c>
      <c r="C22">
        <v>0.047192</v>
      </c>
    </row>
    <row r="23" spans="1:3">
      <c r="A23" t="s">
        <v>44</v>
      </c>
      <c r="B23">
        <v>0.036769</v>
      </c>
      <c r="C23">
        <v>0.048126</v>
      </c>
    </row>
    <row r="24" spans="1:3">
      <c r="A24" s="2" t="s">
        <v>22</v>
      </c>
      <c r="B24">
        <f xml:space="preserve">AVERAGE(B3:B23)</f>
        <v>0.0314142380952381</v>
      </c>
      <c r="C24">
        <f xml:space="preserve">AVERAGE(C3:C23)</f>
        <v>0.0421704285714286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1" sqref="D1:G5"/>
    </sheetView>
  </sheetViews>
  <sheetFormatPr defaultColWidth="9" defaultRowHeight="14.4" outlineLevelRow="4" outlineLevelCol="6"/>
  <cols>
    <col min="2" max="2" width="10.6666666666667"/>
    <col min="3" max="4" width="9.66666666666667"/>
    <col min="5" max="7" width="10.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45</v>
      </c>
      <c r="B3">
        <v>0.050723</v>
      </c>
      <c r="C3">
        <v>0.064585</v>
      </c>
    </row>
    <row r="4" spans="1:7">
      <c r="A4" t="s">
        <v>46</v>
      </c>
      <c r="B4">
        <v>0.022786</v>
      </c>
      <c r="C4">
        <v>0.030521</v>
      </c>
    </row>
    <row r="5" spans="1:7">
      <c r="A5" s="2" t="s">
        <v>22</v>
      </c>
      <c r="B5">
        <f xml:space="preserve">AVERAGE(B3:B4)</f>
        <v>0.0367545</v>
      </c>
      <c r="C5">
        <f xml:space="preserve">AVERAGE(C3:C4)</f>
        <v>0.047553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" sqref="D1:G12"/>
    </sheetView>
  </sheetViews>
  <sheetFormatPr defaultColWidth="8.88888888888889" defaultRowHeight="14.4" outlineLevelCol="6"/>
  <cols>
    <col min="2" max="3" width="12.8888888888889"/>
    <col min="4" max="4" width="10.6666666666667"/>
    <col min="5" max="5" width="11.7777777777778"/>
    <col min="6" max="6" width="12.8888888888889"/>
    <col min="7" max="7" width="11.7777777777778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47</v>
      </c>
      <c r="B3">
        <v>0.035778</v>
      </c>
      <c r="C3">
        <v>0.047877</v>
      </c>
    </row>
    <row r="4" spans="1:7">
      <c r="A4" t="s">
        <v>48</v>
      </c>
      <c r="B4">
        <v>0.03755</v>
      </c>
      <c r="C4">
        <v>0.049115</v>
      </c>
    </row>
    <row r="5" spans="1:7">
      <c r="A5" t="s">
        <v>49</v>
      </c>
      <c r="B5">
        <v>0.032643</v>
      </c>
      <c r="C5">
        <v>0.04095</v>
      </c>
    </row>
    <row r="6" spans="1:7">
      <c r="A6" t="s">
        <v>50</v>
      </c>
      <c r="B6">
        <v>0.033303</v>
      </c>
      <c r="C6">
        <v>0.042771</v>
      </c>
    </row>
    <row r="7" spans="1:7">
      <c r="A7" t="s">
        <v>51</v>
      </c>
      <c r="B7">
        <v>0.044199</v>
      </c>
      <c r="C7">
        <v>0.05612</v>
      </c>
    </row>
    <row r="8" spans="1:7">
      <c r="A8" t="s">
        <v>52</v>
      </c>
      <c r="B8">
        <v>0.029296</v>
      </c>
      <c r="C8">
        <v>0.038135</v>
      </c>
    </row>
    <row r="9" spans="1:7">
      <c r="A9" t="s">
        <v>53</v>
      </c>
      <c r="B9">
        <v>0.043666</v>
      </c>
      <c r="C9">
        <v>0.056893</v>
      </c>
    </row>
    <row r="10" spans="1:7">
      <c r="A10" t="s">
        <v>54</v>
      </c>
      <c r="B10">
        <v>0.048993</v>
      </c>
      <c r="C10">
        <v>0.060273</v>
      </c>
    </row>
    <row r="11" spans="1:7">
      <c r="A11" s="2" t="s">
        <v>22</v>
      </c>
      <c r="B11">
        <f xml:space="preserve">AVERAGE(B3:B10)</f>
        <v>0.0381785</v>
      </c>
      <c r="C11">
        <f xml:space="preserve">AVERAGE(C3:C10)</f>
        <v>0.04901675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1" sqref="D1:G22"/>
    </sheetView>
  </sheetViews>
  <sheetFormatPr defaultColWidth="8.88888888888889" defaultRowHeight="14.4" outlineLevelCol="6"/>
  <cols>
    <col min="2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55</v>
      </c>
      <c r="B3">
        <v>0.029209</v>
      </c>
      <c r="C3">
        <v>0.04339</v>
      </c>
    </row>
    <row r="4" spans="1:7">
      <c r="A4" t="s">
        <v>56</v>
      </c>
      <c r="B4">
        <v>0.018858</v>
      </c>
      <c r="C4">
        <v>0.028789</v>
      </c>
    </row>
    <row r="5" spans="1:7">
      <c r="A5" t="s">
        <v>57</v>
      </c>
      <c r="B5">
        <v>0.023266</v>
      </c>
      <c r="C5">
        <v>0.03113</v>
      </c>
    </row>
    <row r="6" spans="1:7">
      <c r="A6" t="s">
        <v>58</v>
      </c>
      <c r="B6">
        <v>0.03495</v>
      </c>
      <c r="C6">
        <v>0.049325</v>
      </c>
    </row>
    <row r="7" spans="1:7">
      <c r="A7" t="s">
        <v>59</v>
      </c>
      <c r="B7">
        <v>0.023477</v>
      </c>
      <c r="C7">
        <v>0.033002</v>
      </c>
    </row>
    <row r="8" spans="1:7">
      <c r="A8" t="s">
        <v>60</v>
      </c>
      <c r="B8">
        <v>0.053343</v>
      </c>
      <c r="C8">
        <v>0.07679</v>
      </c>
    </row>
    <row r="9" spans="1:7">
      <c r="A9" t="s">
        <v>61</v>
      </c>
      <c r="B9">
        <v>0.026176</v>
      </c>
      <c r="C9">
        <v>0.036225</v>
      </c>
    </row>
    <row r="10" spans="1:7">
      <c r="A10" t="s">
        <v>62</v>
      </c>
      <c r="B10">
        <v>0.013551</v>
      </c>
      <c r="C10">
        <v>0.018247</v>
      </c>
    </row>
    <row r="11" spans="1:7">
      <c r="A11" t="s">
        <v>63</v>
      </c>
      <c r="B11">
        <v>0.039885</v>
      </c>
      <c r="C11">
        <v>0.057652</v>
      </c>
    </row>
    <row r="12" spans="1:7">
      <c r="A12" t="s">
        <v>64</v>
      </c>
      <c r="B12">
        <v>0.036043</v>
      </c>
      <c r="C12">
        <v>0.051941</v>
      </c>
    </row>
    <row r="13" spans="1:7">
      <c r="A13" t="s">
        <v>65</v>
      </c>
      <c r="B13">
        <v>0.029138</v>
      </c>
      <c r="C13">
        <v>0.037864</v>
      </c>
    </row>
    <row r="14" spans="1:7">
      <c r="A14" t="s">
        <v>66</v>
      </c>
      <c r="B14">
        <v>0.034385</v>
      </c>
      <c r="C14">
        <v>0.046696</v>
      </c>
    </row>
    <row r="15" spans="1:7">
      <c r="A15" t="s">
        <v>67</v>
      </c>
      <c r="B15">
        <v>0.025373</v>
      </c>
      <c r="C15">
        <v>0.035075</v>
      </c>
    </row>
    <row r="16" spans="1:7">
      <c r="A16" t="s">
        <v>68</v>
      </c>
      <c r="B16">
        <v>0.040808</v>
      </c>
      <c r="C16">
        <v>0.057839</v>
      </c>
    </row>
    <row r="17" spans="1:3">
      <c r="A17" t="s">
        <v>69</v>
      </c>
      <c r="B17">
        <v>0.04999</v>
      </c>
      <c r="C17">
        <v>0.069955</v>
      </c>
    </row>
    <row r="18" spans="1:3">
      <c r="A18" t="s">
        <v>70</v>
      </c>
      <c r="B18">
        <v>0.02259</v>
      </c>
      <c r="C18">
        <v>0.031143</v>
      </c>
    </row>
    <row r="19" spans="1:3">
      <c r="A19" t="s">
        <v>71</v>
      </c>
      <c r="B19">
        <v>0.034183</v>
      </c>
      <c r="C19">
        <v>0.045878</v>
      </c>
    </row>
    <row r="20" spans="1:3">
      <c r="A20" t="s">
        <v>72</v>
      </c>
      <c r="B20">
        <v>0.038288</v>
      </c>
      <c r="C20">
        <v>0.051769</v>
      </c>
    </row>
    <row r="21" spans="1:3">
      <c r="A21" t="s">
        <v>73</v>
      </c>
      <c r="B21">
        <v>0.032181</v>
      </c>
      <c r="C21">
        <v>0.042684</v>
      </c>
    </row>
    <row r="22" spans="1:3">
      <c r="A22" s="2" t="s">
        <v>22</v>
      </c>
      <c r="B22">
        <f xml:space="preserve">AVERAGE(B3:B21)</f>
        <v>0.0318786315789474</v>
      </c>
      <c r="C22">
        <f xml:space="preserve">AVERAGE(C3:C21)</f>
        <v>0.0444944210526316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D1" sqref="D1:G17"/>
    </sheetView>
  </sheetViews>
  <sheetFormatPr defaultColWidth="8.88888888888889" defaultRowHeight="14.4" outlineLevelCol="6"/>
  <cols>
    <col min="2" max="2" width="12.8888888888889"/>
    <col min="3" max="3" width="9.66666666666667"/>
    <col min="4" max="7" width="12.8888888888889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74</v>
      </c>
      <c r="B3">
        <v>0.075858</v>
      </c>
      <c r="C3">
        <v>0.088998</v>
      </c>
    </row>
    <row r="4" spans="1:7">
      <c r="A4" t="s">
        <v>75</v>
      </c>
      <c r="B4">
        <v>0.017737</v>
      </c>
      <c r="C4">
        <v>0.022219</v>
      </c>
    </row>
    <row r="5" spans="1:7">
      <c r="A5" t="s">
        <v>76</v>
      </c>
      <c r="B5">
        <v>0.026145</v>
      </c>
      <c r="C5">
        <v>0.031829</v>
      </c>
    </row>
    <row r="6" spans="1:7">
      <c r="A6" t="s">
        <v>77</v>
      </c>
      <c r="B6">
        <v>0.037165</v>
      </c>
      <c r="C6">
        <v>0.045668</v>
      </c>
    </row>
    <row r="7" spans="1:7">
      <c r="A7" t="s">
        <v>78</v>
      </c>
      <c r="B7">
        <v>0.02607</v>
      </c>
      <c r="C7">
        <v>0.033769</v>
      </c>
    </row>
    <row r="8" spans="1:7">
      <c r="A8" t="s">
        <v>79</v>
      </c>
      <c r="B8">
        <v>0.024426</v>
      </c>
      <c r="C8">
        <v>0.032147</v>
      </c>
    </row>
    <row r="9" spans="1:7">
      <c r="A9" t="s">
        <v>80</v>
      </c>
      <c r="B9">
        <v>0.023877</v>
      </c>
      <c r="C9">
        <v>0.031579</v>
      </c>
    </row>
    <row r="10" spans="1:7">
      <c r="A10" t="s">
        <v>81</v>
      </c>
      <c r="B10">
        <v>0.033523</v>
      </c>
      <c r="C10">
        <v>0.041722</v>
      </c>
    </row>
    <row r="11" spans="1:7">
      <c r="A11" t="s">
        <v>82</v>
      </c>
      <c r="B11">
        <v>0.02455</v>
      </c>
      <c r="C11">
        <v>0.032913</v>
      </c>
    </row>
    <row r="12" spans="1:7">
      <c r="A12" t="s">
        <v>83</v>
      </c>
      <c r="B12">
        <v>0.033781</v>
      </c>
      <c r="C12">
        <v>0.040782</v>
      </c>
    </row>
    <row r="13" spans="1:7">
      <c r="A13" t="s">
        <v>84</v>
      </c>
      <c r="B13">
        <v>0.031292</v>
      </c>
      <c r="C13">
        <v>0.039356</v>
      </c>
    </row>
    <row r="14" spans="1:7">
      <c r="A14" t="s">
        <v>85</v>
      </c>
      <c r="B14">
        <v>0.014473</v>
      </c>
      <c r="C14">
        <v>0.018314</v>
      </c>
    </row>
    <row r="15" spans="1:7">
      <c r="A15" t="s">
        <v>86</v>
      </c>
      <c r="B15">
        <v>0.033964</v>
      </c>
      <c r="C15">
        <v>0.045868</v>
      </c>
    </row>
    <row r="16" spans="1:7">
      <c r="A16" t="s">
        <v>87</v>
      </c>
      <c r="B16">
        <v>0.044469</v>
      </c>
      <c r="C16">
        <v>0.057245</v>
      </c>
    </row>
    <row r="17" spans="1:3">
      <c r="A17" s="2" t="s">
        <v>22</v>
      </c>
      <c r="B17">
        <f xml:space="preserve">AVERAGE(B3:B16)</f>
        <v>0.0319521428571429</v>
      </c>
      <c r="C17">
        <f xml:space="preserve">AVERAGE(C3:C16)</f>
        <v>0.0401720714285714</v>
      </c>
    </row>
    <row r="21" spans="1:3">
      <c r="A21" s="2"/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欧洲</vt:lpstr>
      <vt:lpstr>广东</vt:lpstr>
      <vt:lpstr>印度</vt:lpstr>
      <vt:lpstr>德州</vt:lpstr>
      <vt:lpstr>PJM</vt:lpstr>
      <vt:lpstr>湖南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Lu</dc:creator>
  <cp:lastModifiedBy>冲淡</cp:lastModifiedBy>
  <dcterms:created xsi:type="dcterms:W3CDTF">2023-05-12T11:15:00Z</dcterms:created>
  <dcterms:modified xsi:type="dcterms:W3CDTF">2026-10-14T06:36:49Z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D01A383DF3544A18BF4E428E43030353_12</vt:lpwstr>
  </property>
  <property fmtid="{D5CDD505-2E9C-101B-9397-08002B2CF9AE}" pid="4" name="CalculationRule">
    <vt:i4>0</vt:i4>
  </property>
</Properties>
</file>