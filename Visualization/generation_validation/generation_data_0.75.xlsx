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2"/>
  </bookViews>
  <sheets>
    <sheet name="欧洲" sheetId="1" r:id="rId1"/>
    <sheet name="广东" sheetId="2" r:id="rId2"/>
    <sheet name="印度" sheetId="3" r:id="rId3"/>
    <sheet name="德州" sheetId="4" r:id="rId4"/>
    <sheet name="PJM" sheetId="5" r:id="rId5"/>
    <sheet name="湖南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<sst xmlns="http://schemas.openxmlformats.org/spreadsheetml/2006/main" count="148" uniqueCount="90">
  <si>
    <t>Counrty</t>
  </si>
  <si>
    <t>MLP</t>
  </si>
  <si>
    <t>LSTM</t>
  </si>
  <si>
    <t>CNN</t>
  </si>
  <si>
    <t>MAE</t>
  </si>
  <si>
    <t>RMSE</t>
  </si>
  <si>
    <t>Belgium</t>
  </si>
  <si>
    <t>Croatia</t>
  </si>
  <si>
    <t>Denmark</t>
  </si>
  <si>
    <t>Finland</t>
  </si>
  <si>
    <t>France</t>
  </si>
  <si>
    <t>Germany</t>
  </si>
  <si>
    <t>Hungary</t>
  </si>
  <si>
    <t>Ireland</t>
  </si>
  <si>
    <t>Italy</t>
  </si>
  <si>
    <t>Lithuania</t>
  </si>
  <si>
    <t>Latvia</t>
  </si>
  <si>
    <t>Netherlands</t>
  </si>
  <si>
    <t>Norway</t>
  </si>
  <si>
    <t>Poland</t>
  </si>
  <si>
    <t>Romania</t>
  </si>
  <si>
    <t>Slovenia</t>
  </si>
  <si>
    <t>Sweden</t>
  </si>
  <si>
    <t>Switzerland</t>
  </si>
  <si>
    <t>Average</t>
  </si>
  <si>
    <t>Region</t>
  </si>
  <si>
    <t>Chaozhou</t>
  </si>
  <si>
    <t>Dongguan</t>
  </si>
  <si>
    <t>Foshan</t>
  </si>
  <si>
    <t>Guangzhou</t>
  </si>
  <si>
    <t>Heyuan</t>
  </si>
  <si>
    <t>Huizhou</t>
  </si>
  <si>
    <t>Jiangmen</t>
  </si>
  <si>
    <t>Jieyang</t>
  </si>
  <si>
    <t>Maoming</t>
  </si>
  <si>
    <t>Meizhou</t>
  </si>
  <si>
    <t>Qingyuan</t>
  </si>
  <si>
    <t>Shantou</t>
  </si>
  <si>
    <t>Shanwei</t>
  </si>
  <si>
    <t>Shaoguan</t>
  </si>
  <si>
    <t>Shenzhen</t>
  </si>
  <si>
    <t>Yangjiang</t>
  </si>
  <si>
    <t>Yunfu</t>
  </si>
  <si>
    <t>Zhanjiang</t>
  </si>
  <si>
    <t>Zhaoqing</t>
  </si>
  <si>
    <t>Zhongshan</t>
  </si>
  <si>
    <t>Zhuhai</t>
  </si>
  <si>
    <t>Delhi</t>
  </si>
  <si>
    <t>Maharashtra</t>
  </si>
  <si>
    <t>COAST</t>
  </si>
  <si>
    <t>EAST</t>
  </si>
  <si>
    <t>FAR WEST</t>
  </si>
  <si>
    <t>NORTH</t>
  </si>
  <si>
    <t>NORTH-C</t>
  </si>
  <si>
    <t>SOUTH-C</t>
  </si>
  <si>
    <t>SOUTHERN</t>
  </si>
  <si>
    <t>WEST</t>
  </si>
  <si>
    <t>Allegheny Power System</t>
  </si>
  <si>
    <t>American Electric Power Co., Inc - Appalachian</t>
  </si>
  <si>
    <t>Atlantic Electric Company</t>
  </si>
  <si>
    <t>Baltimore Gas and Electric Company</t>
  </si>
  <si>
    <t>ComEd</t>
  </si>
  <si>
    <t>Dayton Power and Light Company</t>
  </si>
  <si>
    <t>Delmarva Power and Light</t>
  </si>
  <si>
    <t>Dominion Energy</t>
  </si>
  <si>
    <t>Duke Energy Ohio</t>
  </si>
  <si>
    <t>Duquesne Light</t>
  </si>
  <si>
    <t>East Kentucky Power Coop</t>
  </si>
  <si>
    <t>First Energy - Pennsylvania Electric Company</t>
  </si>
  <si>
    <t>Jersey Central Power and Light Company</t>
  </si>
  <si>
    <t>Metropolitan Edison Company</t>
  </si>
  <si>
    <t>Orion Energy</t>
  </si>
  <si>
    <t>Pennsylvania Electric Company</t>
  </si>
  <si>
    <t>Pennsylvania Power and Light Company</t>
  </si>
  <si>
    <t>Potomac Electric Power</t>
  </si>
  <si>
    <t>Public Service Electric and Gas Company</t>
  </si>
  <si>
    <t>Loudi</t>
  </si>
  <si>
    <t>Yueyang</t>
  </si>
  <si>
    <t>Changde</t>
  </si>
  <si>
    <t>Zhangjiajie</t>
  </si>
  <si>
    <t>Huaihua</t>
  </si>
  <si>
    <t>Zhuzhou</t>
  </si>
  <si>
    <t>Yongzhou</t>
  </si>
  <si>
    <t>Xiangtan</t>
  </si>
  <si>
    <t>Xiangxi</t>
  </si>
  <si>
    <t>Yiyang</t>
  </si>
  <si>
    <t>Hengyang</t>
  </si>
  <si>
    <t>Shaoyang</t>
  </si>
  <si>
    <t>Chenzhou</t>
  </si>
  <si>
    <t>Changsha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</si>
</sst>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B3" sqref="B3:G20"/>
    </sheetView>
  </sheetViews>
  <sheetFormatPr defaultColWidth="9" defaultRowHeight="14.4" outlineLevelCol="6"/>
  <cols>
    <col min="2" max="2" width="15.1111111111111" customWidth="1"/>
    <col min="3" max="3" width="14.4444444444444" customWidth="1"/>
    <col min="4" max="4" width="14.8888888888889" customWidth="1"/>
    <col min="5" max="5" width="14.4444444444444" customWidth="1"/>
    <col min="6" max="6" width="13.3333333333333" customWidth="1"/>
    <col min="7" max="7" width="14.4444444444444" customWidth="1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6</v>
      </c>
      <c r="B3">
        <v>0.047678</v>
      </c>
      <c r="C3">
        <v>0.056333</v>
      </c>
      <c r="D3">
        <v>0.042677</v>
      </c>
      <c r="E3">
        <v>0.053642</v>
      </c>
      <c r="F3">
        <v>0.043848</v>
      </c>
      <c r="G3">
        <v>0.058501</v>
      </c>
    </row>
    <row r="4" spans="1:7">
      <c r="A4" t="s">
        <v>7</v>
      </c>
      <c r="B4">
        <v>0.050599</v>
      </c>
      <c r="C4">
        <v>0.066585</v>
      </c>
      <c r="D4">
        <v>0.046836</v>
      </c>
      <c r="E4">
        <v>0.057951</v>
      </c>
      <c r="F4">
        <v>0.078168</v>
      </c>
      <c r="G4">
        <v>0.091298</v>
      </c>
    </row>
    <row r="5" spans="1:7">
      <c r="A5" t="s">
        <v>8</v>
      </c>
      <c r="B5">
        <v>0.041456</v>
      </c>
      <c r="C5">
        <v>0.05677</v>
      </c>
      <c r="D5">
        <v>0.037507</v>
      </c>
      <c r="E5">
        <v>0.046754</v>
      </c>
      <c r="F5">
        <v>0.039617</v>
      </c>
      <c r="G5">
        <v>0.049155</v>
      </c>
    </row>
    <row r="6" spans="1:7">
      <c r="A6" t="s">
        <v>9</v>
      </c>
      <c r="B6">
        <v>0.016931</v>
      </c>
      <c r="C6">
        <v>0.02082</v>
      </c>
      <c r="D6">
        <v>0.035786</v>
      </c>
      <c r="E6">
        <v>0.047742</v>
      </c>
      <c r="F6">
        <v>0.02142</v>
      </c>
      <c r="G6">
        <v>0.027207</v>
      </c>
    </row>
    <row r="7" spans="1:7">
      <c r="A7" t="s">
        <v>10</v>
      </c>
      <c r="B7">
        <v>0.028421</v>
      </c>
      <c r="C7">
        <v>0.036332</v>
      </c>
      <c r="D7">
        <v>0.023219</v>
      </c>
      <c r="E7">
        <v>0.028619</v>
      </c>
      <c r="F7">
        <v>0.026472</v>
      </c>
      <c r="G7">
        <v>0.032226</v>
      </c>
    </row>
    <row r="8" spans="1:7">
      <c r="A8" t="s">
        <v>11</v>
      </c>
      <c r="B8">
        <v>0.023715</v>
      </c>
      <c r="C8">
        <v>0.031226</v>
      </c>
      <c r="D8">
        <v>0.026106</v>
      </c>
      <c r="E8">
        <v>0.031396</v>
      </c>
      <c r="F8">
        <v>0.02618</v>
      </c>
      <c r="G8">
        <v>0.033275</v>
      </c>
    </row>
    <row r="9" spans="1:7">
      <c r="A9" t="s">
        <v>12</v>
      </c>
      <c r="B9">
        <v>0.029487</v>
      </c>
      <c r="C9">
        <v>0.035804</v>
      </c>
      <c r="D9">
        <v>0.024964</v>
      </c>
      <c r="E9">
        <v>0.033266</v>
      </c>
      <c r="F9">
        <v>0.044944</v>
      </c>
      <c r="G9">
        <v>0.050259</v>
      </c>
    </row>
    <row r="10" spans="1:7">
      <c r="A10" t="s">
        <v>13</v>
      </c>
      <c r="B10">
        <v>0.073734</v>
      </c>
      <c r="C10">
        <v>0.102914</v>
      </c>
      <c r="D10">
        <v>0.040866</v>
      </c>
      <c r="E10">
        <v>0.048623</v>
      </c>
      <c r="F10">
        <v>0.053016</v>
      </c>
      <c r="G10">
        <v>0.069263</v>
      </c>
    </row>
    <row r="11" spans="1:7">
      <c r="A11" t="s">
        <v>14</v>
      </c>
      <c r="B11">
        <v>0.022309</v>
      </c>
      <c r="C11">
        <v>0.030024</v>
      </c>
      <c r="D11">
        <v>0.022234</v>
      </c>
      <c r="E11">
        <v>0.028102</v>
      </c>
      <c r="F11">
        <v>0.031912</v>
      </c>
      <c r="G11">
        <v>0.041345</v>
      </c>
    </row>
    <row r="12" spans="1:7">
      <c r="A12" t="s">
        <v>15</v>
      </c>
      <c r="B12">
        <v>0.035076</v>
      </c>
      <c r="C12">
        <v>0.044214</v>
      </c>
      <c r="D12">
        <v>0.029201</v>
      </c>
      <c r="E12">
        <v>0.037236</v>
      </c>
      <c r="F12">
        <v>0.070231</v>
      </c>
      <c r="G12">
        <v>0.079955</v>
      </c>
    </row>
    <row r="13" spans="1:7">
      <c r="A13" t="s">
        <v>16</v>
      </c>
      <c r="B13">
        <v>0.036954</v>
      </c>
      <c r="C13">
        <v>0.050122</v>
      </c>
      <c r="D13">
        <v>0.031032</v>
      </c>
      <c r="E13">
        <v>0.040981</v>
      </c>
      <c r="F13">
        <v>0.032568</v>
      </c>
      <c r="G13">
        <v>0.043207</v>
      </c>
    </row>
    <row r="14" spans="1:7">
      <c r="A14" t="s">
        <v>17</v>
      </c>
      <c r="B14">
        <v>0.030635</v>
      </c>
      <c r="C14">
        <v>0.037968</v>
      </c>
      <c r="D14">
        <v>0.028171</v>
      </c>
      <c r="E14">
        <v>0.039345</v>
      </c>
      <c r="F14">
        <v>0.032233</v>
      </c>
      <c r="G14">
        <v>0.045667</v>
      </c>
    </row>
    <row r="15" spans="1:7">
      <c r="A15" t="s">
        <v>18</v>
      </c>
      <c r="B15">
        <v>0.027632</v>
      </c>
      <c r="C15">
        <v>0.033672</v>
      </c>
      <c r="D15">
        <v>0.026822</v>
      </c>
      <c r="E15">
        <v>0.032567</v>
      </c>
      <c r="F15">
        <v>0.031615</v>
      </c>
      <c r="G15">
        <v>0.039165</v>
      </c>
    </row>
    <row r="16" spans="1:7">
      <c r="A16" t="s">
        <v>19</v>
      </c>
      <c r="B16">
        <v>0.018618</v>
      </c>
      <c r="C16">
        <v>0.022758</v>
      </c>
      <c r="D16">
        <v>0.033569</v>
      </c>
      <c r="E16">
        <v>0.063012</v>
      </c>
      <c r="F16">
        <v>0.021346</v>
      </c>
      <c r="G16">
        <v>0.026968</v>
      </c>
    </row>
    <row r="17" spans="1:7">
      <c r="A17" t="s">
        <v>20</v>
      </c>
      <c r="B17">
        <v>0.025031</v>
      </c>
      <c r="C17">
        <v>0.030818</v>
      </c>
      <c r="D17">
        <v>0.032841</v>
      </c>
      <c r="E17">
        <v>0.043839</v>
      </c>
      <c r="F17">
        <v>0.045193</v>
      </c>
      <c r="G17">
        <v>0.052552</v>
      </c>
    </row>
    <row r="18" spans="1:7">
      <c r="A18" t="s">
        <v>21</v>
      </c>
      <c r="B18">
        <v>0.041428</v>
      </c>
      <c r="C18">
        <v>0.05628</v>
      </c>
      <c r="D18">
        <v>0.032944</v>
      </c>
      <c r="E18">
        <v>0.045729</v>
      </c>
      <c r="F18">
        <v>0.057991</v>
      </c>
      <c r="G18">
        <v>0.071237</v>
      </c>
    </row>
    <row r="19" spans="1:7">
      <c r="A19" t="s">
        <v>22</v>
      </c>
      <c r="B19">
        <v>0.026594</v>
      </c>
      <c r="C19">
        <v>0.035627</v>
      </c>
      <c r="D19">
        <v>0.030924</v>
      </c>
      <c r="E19">
        <v>0.040856</v>
      </c>
      <c r="F19">
        <v>0.049025</v>
      </c>
      <c r="G19">
        <v>0.060435</v>
      </c>
    </row>
    <row r="20" spans="1:7">
      <c r="A20" t="s">
        <v>23</v>
      </c>
      <c r="B20">
        <v>0.042423</v>
      </c>
      <c r="C20">
        <v>0.052023</v>
      </c>
      <c r="D20">
        <v>0.038992</v>
      </c>
      <c r="E20">
        <v>0.051807</v>
      </c>
      <c r="F20">
        <v>0.042462</v>
      </c>
      <c r="G20">
        <v>0.0541</v>
      </c>
    </row>
    <row r="21" spans="1:7">
      <c r="A21" s="2" t="s">
        <v>24</v>
      </c>
      <c r="B21">
        <f>AVERAGE(B3:B20)</f>
        <v>0.0343733888888889</v>
      </c>
      <c r="C21">
        <f t="shared" ref="B21:G21" si="0">AVERAGE(C3:C20)</f>
        <v>0.0444605555555556</v>
      </c>
      <c r="D21">
        <f t="shared" si="0"/>
        <v>0.0324828333333333</v>
      </c>
      <c r="E21">
        <f t="shared" si="0"/>
        <v>0.0428592777777778</v>
      </c>
      <c r="F21">
        <f t="shared" si="0"/>
        <v>0.0415689444444444</v>
      </c>
      <c r="G21">
        <f t="shared" si="0"/>
        <v>0.0514341666666667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B3" sqref="B3:G23"/>
    </sheetView>
  </sheetViews>
  <sheetFormatPr defaultColWidth="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26</v>
      </c>
      <c r="B3">
        <v>0.02585</v>
      </c>
      <c r="C3">
        <v>0.034232</v>
      </c>
      <c r="D3">
        <v>0.021835</v>
      </c>
      <c r="E3">
        <v>0.02871</v>
      </c>
      <c r="F3">
        <v>0.029251</v>
      </c>
      <c r="G3">
        <v>0.034851</v>
      </c>
    </row>
    <row r="4" spans="1:7">
      <c r="A4" t="s">
        <v>27</v>
      </c>
      <c r="B4">
        <v>0.016643</v>
      </c>
      <c r="C4">
        <v>0.022538</v>
      </c>
      <c r="D4">
        <v>0.03127</v>
      </c>
      <c r="E4">
        <v>0.04587</v>
      </c>
      <c r="F4">
        <v>0.022658</v>
      </c>
      <c r="G4">
        <v>0.028121</v>
      </c>
    </row>
    <row r="5" spans="1:7">
      <c r="A5" t="s">
        <v>28</v>
      </c>
      <c r="B5">
        <v>0.022008</v>
      </c>
      <c r="C5">
        <v>0.028692</v>
      </c>
      <c r="D5">
        <v>0.020086</v>
      </c>
      <c r="E5">
        <v>0.027574</v>
      </c>
      <c r="F5">
        <v>0.027038</v>
      </c>
      <c r="G5">
        <v>0.031634</v>
      </c>
    </row>
    <row r="6" spans="1:7">
      <c r="A6" t="s">
        <v>29</v>
      </c>
      <c r="B6">
        <v>0.02086</v>
      </c>
      <c r="C6">
        <v>0.027024</v>
      </c>
      <c r="D6">
        <v>0.02286</v>
      </c>
      <c r="E6">
        <v>0.034042</v>
      </c>
      <c r="F6">
        <v>0.02449</v>
      </c>
      <c r="G6">
        <v>0.030866</v>
      </c>
    </row>
    <row r="7" spans="1:7">
      <c r="A7" t="s">
        <v>30</v>
      </c>
      <c r="B7">
        <v>0.050502</v>
      </c>
      <c r="C7">
        <v>0.065406</v>
      </c>
      <c r="D7">
        <v>0.042179</v>
      </c>
      <c r="E7">
        <v>0.050375</v>
      </c>
      <c r="F7">
        <v>0.068182</v>
      </c>
      <c r="G7">
        <v>0.078582</v>
      </c>
    </row>
    <row r="8" spans="1:7">
      <c r="A8" t="s">
        <v>31</v>
      </c>
      <c r="B8">
        <v>0.027112</v>
      </c>
      <c r="C8">
        <v>0.040769</v>
      </c>
      <c r="D8">
        <v>0.025471</v>
      </c>
      <c r="E8">
        <v>0.039255</v>
      </c>
      <c r="F8">
        <v>0.033418</v>
      </c>
      <c r="G8">
        <v>0.039574</v>
      </c>
    </row>
    <row r="9" spans="1:7">
      <c r="A9" t="s">
        <v>32</v>
      </c>
      <c r="B9">
        <v>0.024403</v>
      </c>
      <c r="C9">
        <v>0.031045</v>
      </c>
      <c r="D9">
        <v>0.024909</v>
      </c>
      <c r="E9">
        <v>0.035536</v>
      </c>
      <c r="F9">
        <v>0.028741</v>
      </c>
      <c r="G9">
        <v>0.036462</v>
      </c>
    </row>
    <row r="10" spans="1:7">
      <c r="A10" t="s">
        <v>33</v>
      </c>
      <c r="B10">
        <v>0.21046</v>
      </c>
      <c r="C10">
        <v>0.267755</v>
      </c>
      <c r="D10">
        <v>0.044113</v>
      </c>
      <c r="E10">
        <v>0.050875</v>
      </c>
      <c r="F10">
        <v>0.086682</v>
      </c>
      <c r="G10">
        <v>0.091648</v>
      </c>
    </row>
    <row r="11" spans="1:7">
      <c r="A11" t="s">
        <v>34</v>
      </c>
      <c r="B11">
        <v>0.032438</v>
      </c>
      <c r="C11">
        <v>0.050092</v>
      </c>
      <c r="D11">
        <v>0.030082</v>
      </c>
      <c r="E11">
        <v>0.046624</v>
      </c>
      <c r="F11">
        <v>0.037723</v>
      </c>
      <c r="G11">
        <v>0.049992</v>
      </c>
    </row>
    <row r="12" spans="1:7">
      <c r="A12" t="s">
        <v>35</v>
      </c>
      <c r="B12">
        <v>0.029986</v>
      </c>
      <c r="C12">
        <v>0.038181</v>
      </c>
      <c r="D12">
        <v>0.029574</v>
      </c>
      <c r="E12">
        <v>0.037147</v>
      </c>
      <c r="F12">
        <v>0.047564</v>
      </c>
      <c r="G12">
        <v>0.054946</v>
      </c>
    </row>
    <row r="13" spans="1:7">
      <c r="A13" t="s">
        <v>36</v>
      </c>
      <c r="B13">
        <v>0.058372</v>
      </c>
      <c r="C13">
        <v>0.073859</v>
      </c>
      <c r="D13">
        <v>0.032019</v>
      </c>
      <c r="E13">
        <v>0.043187</v>
      </c>
      <c r="F13">
        <v>0.057128</v>
      </c>
      <c r="G13">
        <v>0.06603</v>
      </c>
    </row>
    <row r="14" spans="1:7">
      <c r="A14" t="s">
        <v>37</v>
      </c>
      <c r="B14">
        <v>0.024403</v>
      </c>
      <c r="C14">
        <v>0.034953</v>
      </c>
      <c r="D14">
        <v>0.019499</v>
      </c>
      <c r="E14">
        <v>0.028323</v>
      </c>
      <c r="F14">
        <v>0.025717</v>
      </c>
      <c r="G14">
        <v>0.032652</v>
      </c>
    </row>
    <row r="15" spans="1:7">
      <c r="A15" t="s">
        <v>38</v>
      </c>
      <c r="B15">
        <v>0.030377</v>
      </c>
      <c r="C15">
        <v>0.045138</v>
      </c>
      <c r="D15">
        <v>0.02871</v>
      </c>
      <c r="E15">
        <v>0.038071</v>
      </c>
      <c r="F15">
        <v>0.037977</v>
      </c>
      <c r="G15">
        <v>0.04815</v>
      </c>
    </row>
    <row r="16" spans="1:7">
      <c r="A16" t="s">
        <v>39</v>
      </c>
      <c r="B16">
        <v>0.043783</v>
      </c>
      <c r="C16">
        <v>0.0565</v>
      </c>
      <c r="D16">
        <v>0.037778</v>
      </c>
      <c r="E16">
        <v>0.048715</v>
      </c>
      <c r="F16">
        <v>0.046634</v>
      </c>
      <c r="G16">
        <v>0.057816</v>
      </c>
    </row>
    <row r="17" spans="1:7">
      <c r="A17" t="s">
        <v>40</v>
      </c>
      <c r="B17">
        <v>0.017707</v>
      </c>
      <c r="C17">
        <v>0.026166</v>
      </c>
      <c r="D17">
        <v>0.01552</v>
      </c>
      <c r="E17">
        <v>0.023329</v>
      </c>
      <c r="F17">
        <v>0.020594</v>
      </c>
      <c r="G17">
        <v>0.027627</v>
      </c>
    </row>
    <row r="18" spans="1:7">
      <c r="A18" t="s">
        <v>41</v>
      </c>
      <c r="B18">
        <v>0.095797</v>
      </c>
      <c r="C18">
        <v>0.114577</v>
      </c>
      <c r="D18">
        <v>0.055465</v>
      </c>
      <c r="E18">
        <v>0.067959</v>
      </c>
      <c r="F18">
        <v>0.099059</v>
      </c>
      <c r="G18">
        <v>0.109836</v>
      </c>
    </row>
    <row r="19" spans="1:7">
      <c r="A19" t="s">
        <v>42</v>
      </c>
      <c r="B19">
        <v>0.258667</v>
      </c>
      <c r="C19">
        <v>0.323066</v>
      </c>
      <c r="D19">
        <v>0.059069</v>
      </c>
      <c r="E19">
        <v>0.072188</v>
      </c>
      <c r="F19">
        <v>0.1432</v>
      </c>
      <c r="G19">
        <v>0.157716</v>
      </c>
    </row>
    <row r="20" spans="1:7">
      <c r="A20" t="s">
        <v>43</v>
      </c>
      <c r="B20">
        <v>0.040628</v>
      </c>
      <c r="C20">
        <v>0.065182</v>
      </c>
      <c r="D20">
        <v>0.035414</v>
      </c>
      <c r="E20">
        <v>0.057194</v>
      </c>
      <c r="F20">
        <v>0.042555</v>
      </c>
      <c r="G20">
        <v>0.065174</v>
      </c>
    </row>
    <row r="21" spans="1:7">
      <c r="A21" t="s">
        <v>44</v>
      </c>
      <c r="B21">
        <v>0.027541</v>
      </c>
      <c r="C21">
        <v>0.035398</v>
      </c>
      <c r="D21">
        <v>0.023252</v>
      </c>
      <c r="E21">
        <v>0.027737</v>
      </c>
      <c r="F21">
        <v>0.04684</v>
      </c>
      <c r="G21">
        <v>0.05209</v>
      </c>
    </row>
    <row r="22" spans="1:7">
      <c r="A22" t="s">
        <v>45</v>
      </c>
      <c r="B22">
        <v>0.020973</v>
      </c>
      <c r="C22">
        <v>0.026628</v>
      </c>
      <c r="D22">
        <v>0.022349</v>
      </c>
      <c r="E22">
        <v>0.030657</v>
      </c>
      <c r="F22">
        <v>0.029139</v>
      </c>
      <c r="G22">
        <v>0.036761</v>
      </c>
    </row>
    <row r="23" spans="1:7">
      <c r="A23" t="s">
        <v>46</v>
      </c>
      <c r="B23">
        <v>0.057893</v>
      </c>
      <c r="C23">
        <v>0.082928</v>
      </c>
      <c r="D23">
        <v>0.032655</v>
      </c>
      <c r="E23">
        <v>0.039475</v>
      </c>
      <c r="F23">
        <v>0.051468</v>
      </c>
      <c r="G23">
        <v>0.056319</v>
      </c>
    </row>
    <row r="24" spans="1:7">
      <c r="A24" s="2" t="s">
        <v>24</v>
      </c>
      <c r="B24">
        <f t="shared" ref="B24:G24" si="0">AVERAGE(B3:B23)</f>
        <v>0.0541144285714286</v>
      </c>
      <c r="C24">
        <f t="shared" si="0"/>
        <v>0.0709585238095238</v>
      </c>
      <c r="D24">
        <f t="shared" si="0"/>
        <v>0.0311480476190476</v>
      </c>
      <c r="E24">
        <f t="shared" si="0"/>
        <v>0.0415639523809524</v>
      </c>
      <c r="F24">
        <f t="shared" si="0"/>
        <v>0.0479075238095238</v>
      </c>
      <c r="G24">
        <f t="shared" si="0"/>
        <v>0.0565165238095238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selection activeCell="B3" sqref="B3:G4"/>
    </sheetView>
  </sheetViews>
  <sheetFormatPr defaultColWidth="9" defaultRowHeight="14.4" outlineLevelRow="4" outlineLevelCol="6"/>
  <cols>
    <col min="2" max="3" width="10.6666666666667"/>
    <col min="4" max="4" width="9.66666666666667"/>
    <col min="5" max="6" width="10.6666666666667"/>
    <col min="7" max="7" width="9.6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47</v>
      </c>
      <c r="B3">
        <v>0.031736</v>
      </c>
      <c r="C3">
        <v>0.038754</v>
      </c>
      <c r="D3">
        <v>0.042352</v>
      </c>
      <c r="E3">
        <v>0.052154</v>
      </c>
      <c r="F3">
        <v>0.043688</v>
      </c>
      <c r="G3">
        <v>0.052643</v>
      </c>
    </row>
    <row r="4" spans="1:7">
      <c r="A4" t="s">
        <v>48</v>
      </c>
      <c r="B4">
        <v>0.021363</v>
      </c>
      <c r="C4">
        <v>0.028334</v>
      </c>
      <c r="D4">
        <v>0.022311</v>
      </c>
      <c r="E4">
        <v>0.029529</v>
      </c>
      <c r="F4">
        <v>0.029206</v>
      </c>
      <c r="G4">
        <v>0.035735</v>
      </c>
    </row>
    <row r="5" spans="1:7">
      <c r="A5" s="2" t="s">
        <v>24</v>
      </c>
      <c r="B5">
        <f t="shared" ref="B5:G5" si="0">AVERAGE(B3:B4)</f>
        <v>0.0265495</v>
      </c>
      <c r="C5">
        <f t="shared" si="0"/>
        <v>0.033544</v>
      </c>
      <c r="D5">
        <f t="shared" si="0"/>
        <v>0.0323315</v>
      </c>
      <c r="E5">
        <f t="shared" si="0"/>
        <v>0.0408415</v>
      </c>
      <c r="F5">
        <f t="shared" si="0"/>
        <v>0.036447</v>
      </c>
      <c r="G5">
        <f t="shared" si="0"/>
        <v>0.044189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B11" sqref="B11:G11"/>
    </sheetView>
  </sheetViews>
  <sheetFormatPr defaultColWidth="8.88888888888889" defaultRowHeight="14.4" outlineLevelCol="6"/>
  <cols>
    <col min="2" max="2" width="9.66666666666667"/>
    <col min="3" max="4" width="12.8888888888889"/>
    <col min="5" max="5" width="11.7777777777778"/>
    <col min="6" max="6" width="12.8888888888889"/>
    <col min="7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49</v>
      </c>
      <c r="B3">
        <v>0.044542</v>
      </c>
      <c r="C3">
        <v>0.059457</v>
      </c>
      <c r="D3">
        <v>0.035628</v>
      </c>
      <c r="E3">
        <v>0.047139</v>
      </c>
      <c r="F3">
        <v>0.037845</v>
      </c>
      <c r="G3">
        <v>0.048607</v>
      </c>
    </row>
    <row r="4" spans="1:7">
      <c r="A4" t="s">
        <v>50</v>
      </c>
      <c r="B4">
        <v>0.052626</v>
      </c>
      <c r="C4">
        <v>0.065856</v>
      </c>
      <c r="D4">
        <v>0.032301</v>
      </c>
      <c r="E4">
        <v>0.04053</v>
      </c>
      <c r="F4">
        <v>0.045505</v>
      </c>
      <c r="G4">
        <v>0.058218</v>
      </c>
    </row>
    <row r="5" spans="1:7">
      <c r="A5" t="s">
        <v>51</v>
      </c>
      <c r="B5">
        <v>0.041069</v>
      </c>
      <c r="C5">
        <v>0.054672</v>
      </c>
      <c r="D5">
        <v>0.033634</v>
      </c>
      <c r="E5">
        <v>0.039373</v>
      </c>
      <c r="F5">
        <v>0.083671</v>
      </c>
      <c r="G5">
        <v>0.090164</v>
      </c>
    </row>
    <row r="6" spans="1:7">
      <c r="A6" t="s">
        <v>52</v>
      </c>
      <c r="B6">
        <v>0.04537</v>
      </c>
      <c r="C6">
        <v>0.060382</v>
      </c>
      <c r="D6">
        <v>0.035648</v>
      </c>
      <c r="E6">
        <v>0.045168</v>
      </c>
      <c r="F6">
        <v>0.036796</v>
      </c>
      <c r="G6">
        <v>0.048423</v>
      </c>
    </row>
    <row r="7" spans="1:7">
      <c r="A7" t="s">
        <v>53</v>
      </c>
      <c r="B7">
        <v>0.057801</v>
      </c>
      <c r="C7">
        <v>0.075216</v>
      </c>
      <c r="D7">
        <v>0.039957</v>
      </c>
      <c r="E7">
        <v>0.053087</v>
      </c>
      <c r="F7">
        <v>0.046717</v>
      </c>
      <c r="G7">
        <v>0.060976</v>
      </c>
    </row>
    <row r="8" spans="1:7">
      <c r="A8" t="s">
        <v>54</v>
      </c>
      <c r="B8">
        <v>0.04318</v>
      </c>
      <c r="C8">
        <v>0.057788</v>
      </c>
      <c r="D8">
        <v>0.033369</v>
      </c>
      <c r="E8">
        <v>0.045369</v>
      </c>
      <c r="F8">
        <v>0.036472</v>
      </c>
      <c r="G8">
        <v>0.047767</v>
      </c>
    </row>
    <row r="9" spans="1:7">
      <c r="A9" t="s">
        <v>55</v>
      </c>
      <c r="B9">
        <v>0.053301</v>
      </c>
      <c r="C9">
        <v>0.066625</v>
      </c>
      <c r="D9">
        <v>0.040016</v>
      </c>
      <c r="E9">
        <v>0.053645</v>
      </c>
      <c r="F9">
        <v>0.046634</v>
      </c>
      <c r="G9">
        <v>0.059967</v>
      </c>
    </row>
    <row r="10" spans="1:7">
      <c r="A10" t="s">
        <v>56</v>
      </c>
      <c r="B10">
        <v>0.053111</v>
      </c>
      <c r="C10">
        <v>0.067747</v>
      </c>
      <c r="D10">
        <v>0.039322</v>
      </c>
      <c r="E10">
        <v>0.049735</v>
      </c>
      <c r="F10">
        <v>0.060859</v>
      </c>
      <c r="G10">
        <v>0.072098</v>
      </c>
    </row>
    <row r="11" spans="1:7">
      <c r="A11" s="2" t="s">
        <v>24</v>
      </c>
      <c r="B11">
        <f t="shared" ref="B11:G11" si="0">AVERAGE(B3:B10)</f>
        <v>0.048875</v>
      </c>
      <c r="C11">
        <f t="shared" si="0"/>
        <v>0.063467875</v>
      </c>
      <c r="D11">
        <f t="shared" si="0"/>
        <v>0.036234375</v>
      </c>
      <c r="E11">
        <f t="shared" si="0"/>
        <v>0.04675575</v>
      </c>
      <c r="F11">
        <f t="shared" si="0"/>
        <v>0.049312375</v>
      </c>
      <c r="G11">
        <f t="shared" si="0"/>
        <v>0.0607775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P10" sqref="P10"/>
    </sheetView>
  </sheetViews>
  <sheetFormatPr defaultColWidth="8.88888888888889" defaultRowHeight="14.4" outlineLevelCol="6"/>
  <cols>
    <col min="2" max="6" width="12.8888888888889"/>
    <col min="7" max="7" width="9.6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57</v>
      </c>
      <c r="B3">
        <v>0.040808</v>
      </c>
      <c r="C3">
        <v>0.053783</v>
      </c>
      <c r="D3">
        <v>0.042156</v>
      </c>
      <c r="E3">
        <v>0.05733</v>
      </c>
      <c r="F3">
        <v>0.042571</v>
      </c>
      <c r="G3">
        <v>0.061383</v>
      </c>
    </row>
    <row r="4" spans="1:7">
      <c r="A4" t="s">
        <v>58</v>
      </c>
      <c r="B4">
        <v>0.028073</v>
      </c>
      <c r="C4">
        <v>0.039289</v>
      </c>
      <c r="D4">
        <v>0.020538</v>
      </c>
      <c r="E4">
        <v>0.031033</v>
      </c>
      <c r="F4">
        <v>0.019544</v>
      </c>
      <c r="G4">
        <v>0.027048</v>
      </c>
    </row>
    <row r="5" spans="1:7">
      <c r="A5" t="s">
        <v>59</v>
      </c>
      <c r="B5">
        <v>0.042842</v>
      </c>
      <c r="C5">
        <v>0.059794</v>
      </c>
      <c r="D5">
        <v>0.026129</v>
      </c>
      <c r="E5">
        <v>0.035433</v>
      </c>
      <c r="F5">
        <v>0.041292</v>
      </c>
      <c r="G5">
        <v>0.053557</v>
      </c>
    </row>
    <row r="6" spans="1:7">
      <c r="A6" t="s">
        <v>60</v>
      </c>
      <c r="B6">
        <v>0.051323</v>
      </c>
      <c r="C6">
        <v>0.073131</v>
      </c>
      <c r="D6">
        <v>0.038768</v>
      </c>
      <c r="E6">
        <v>0.059571</v>
      </c>
      <c r="F6">
        <v>0.045748</v>
      </c>
      <c r="G6">
        <v>0.060918</v>
      </c>
    </row>
    <row r="7" spans="1:7">
      <c r="A7" t="s">
        <v>61</v>
      </c>
      <c r="B7">
        <v>0.037025</v>
      </c>
      <c r="C7">
        <v>0.049127</v>
      </c>
      <c r="D7">
        <v>0.024962</v>
      </c>
      <c r="E7">
        <v>0.035498</v>
      </c>
      <c r="F7">
        <v>0.02415</v>
      </c>
      <c r="G7">
        <v>0.032512</v>
      </c>
    </row>
    <row r="8" spans="1:7">
      <c r="A8" t="s">
        <v>62</v>
      </c>
      <c r="B8">
        <v>0.053735</v>
      </c>
      <c r="C8">
        <v>0.077568</v>
      </c>
      <c r="D8">
        <v>0.046712</v>
      </c>
      <c r="E8">
        <v>0.068398</v>
      </c>
      <c r="F8">
        <v>0.055099</v>
      </c>
      <c r="G8">
        <v>0.072401</v>
      </c>
    </row>
    <row r="9" spans="1:7">
      <c r="A9" t="s">
        <v>63</v>
      </c>
      <c r="B9">
        <v>0.043207</v>
      </c>
      <c r="C9">
        <v>0.06185</v>
      </c>
      <c r="D9">
        <v>0.028476</v>
      </c>
      <c r="E9">
        <v>0.037953</v>
      </c>
      <c r="F9">
        <v>0.035142</v>
      </c>
      <c r="G9">
        <v>0.043383</v>
      </c>
    </row>
    <row r="10" spans="1:7">
      <c r="A10" t="s">
        <v>64</v>
      </c>
      <c r="B10">
        <v>0.024188</v>
      </c>
      <c r="C10">
        <v>0.031338</v>
      </c>
      <c r="D10">
        <v>0.015354</v>
      </c>
      <c r="E10">
        <v>0.01993</v>
      </c>
      <c r="F10">
        <v>0.020183</v>
      </c>
      <c r="G10">
        <v>0.025551</v>
      </c>
    </row>
    <row r="11" spans="1:7">
      <c r="A11" t="s">
        <v>65</v>
      </c>
      <c r="B11">
        <v>0.054459</v>
      </c>
      <c r="C11">
        <v>0.077109</v>
      </c>
      <c r="D11">
        <v>0.045647</v>
      </c>
      <c r="E11">
        <v>0.066318</v>
      </c>
      <c r="F11">
        <v>0.047234</v>
      </c>
      <c r="G11">
        <v>0.066439</v>
      </c>
    </row>
    <row r="12" spans="1:7">
      <c r="A12" t="s">
        <v>66</v>
      </c>
      <c r="B12">
        <v>0.044353</v>
      </c>
      <c r="C12">
        <v>0.06288</v>
      </c>
      <c r="D12">
        <v>0.043125</v>
      </c>
      <c r="E12">
        <v>0.059235</v>
      </c>
      <c r="F12">
        <v>0.049337</v>
      </c>
      <c r="G12">
        <v>0.066018</v>
      </c>
    </row>
    <row r="13" spans="1:7">
      <c r="A13" t="s">
        <v>67</v>
      </c>
      <c r="B13">
        <v>0.034714</v>
      </c>
      <c r="C13">
        <v>0.043133</v>
      </c>
      <c r="D13">
        <v>0.028371</v>
      </c>
      <c r="E13">
        <v>0.037049</v>
      </c>
      <c r="F13">
        <v>0.028203</v>
      </c>
      <c r="G13">
        <v>0.037041</v>
      </c>
    </row>
    <row r="14" spans="1:7">
      <c r="A14" t="s">
        <v>68</v>
      </c>
      <c r="B14">
        <v>0.054722</v>
      </c>
      <c r="C14">
        <v>0.068753</v>
      </c>
      <c r="D14">
        <v>0.044121</v>
      </c>
      <c r="E14">
        <v>0.056924</v>
      </c>
      <c r="F14">
        <v>0.049222</v>
      </c>
      <c r="G14">
        <v>0.061819</v>
      </c>
    </row>
    <row r="15" spans="1:7">
      <c r="A15" t="s">
        <v>69</v>
      </c>
      <c r="B15">
        <v>0.040608</v>
      </c>
      <c r="C15">
        <v>0.057795</v>
      </c>
      <c r="D15">
        <v>0.028591</v>
      </c>
      <c r="E15">
        <v>0.041303</v>
      </c>
      <c r="F15">
        <v>0.044988</v>
      </c>
      <c r="G15">
        <v>0.058089</v>
      </c>
    </row>
    <row r="16" spans="1:7">
      <c r="A16" t="s">
        <v>70</v>
      </c>
      <c r="B16">
        <v>0.051576</v>
      </c>
      <c r="C16">
        <v>0.073173</v>
      </c>
      <c r="D16">
        <v>0.041215</v>
      </c>
      <c r="E16">
        <v>0.053434</v>
      </c>
      <c r="F16">
        <v>0.043466</v>
      </c>
      <c r="G16">
        <v>0.057757</v>
      </c>
    </row>
    <row r="17" spans="1:7">
      <c r="A17" t="s">
        <v>71</v>
      </c>
      <c r="B17">
        <v>0.057269</v>
      </c>
      <c r="C17">
        <v>0.078193</v>
      </c>
      <c r="D17">
        <v>0.05665</v>
      </c>
      <c r="E17">
        <v>0.078006</v>
      </c>
      <c r="F17">
        <v>0.053564</v>
      </c>
      <c r="G17">
        <v>0.070649</v>
      </c>
    </row>
    <row r="18" spans="1:7">
      <c r="A18" t="s">
        <v>72</v>
      </c>
      <c r="B18">
        <v>0.047983</v>
      </c>
      <c r="C18">
        <v>0.062118</v>
      </c>
      <c r="D18">
        <v>0.02157</v>
      </c>
      <c r="E18">
        <v>0.028893</v>
      </c>
      <c r="F18">
        <v>0.048195</v>
      </c>
      <c r="G18">
        <v>0.065512</v>
      </c>
    </row>
    <row r="19" spans="1:7">
      <c r="A19" t="s">
        <v>73</v>
      </c>
      <c r="B19">
        <v>0.048405</v>
      </c>
      <c r="C19">
        <v>0.067409</v>
      </c>
      <c r="D19">
        <v>0.037153</v>
      </c>
      <c r="E19">
        <v>0.05213</v>
      </c>
      <c r="F19">
        <v>0.043345</v>
      </c>
      <c r="G19">
        <v>0.060061</v>
      </c>
    </row>
    <row r="20" spans="1:7">
      <c r="A20" t="s">
        <v>74</v>
      </c>
      <c r="B20">
        <v>0.044262</v>
      </c>
      <c r="C20">
        <v>0.060222</v>
      </c>
      <c r="D20">
        <v>0.035643</v>
      </c>
      <c r="E20">
        <v>0.04929</v>
      </c>
      <c r="F20">
        <v>0.043306</v>
      </c>
      <c r="G20">
        <v>0.056596</v>
      </c>
    </row>
    <row r="21" spans="1:7">
      <c r="A21" t="s">
        <v>75</v>
      </c>
      <c r="B21">
        <v>0.047076</v>
      </c>
      <c r="C21">
        <v>0.065504</v>
      </c>
      <c r="D21">
        <v>0.028233</v>
      </c>
      <c r="E21">
        <v>0.037404</v>
      </c>
      <c r="F21">
        <v>0.043315</v>
      </c>
      <c r="G21">
        <v>0.058671</v>
      </c>
    </row>
    <row r="22" spans="1:7">
      <c r="A22" s="2" t="s">
        <v>24</v>
      </c>
      <c r="B22">
        <f t="shared" ref="B22:G22" si="0">AVERAGE(B3:B21)</f>
        <v>0.0445593684210526</v>
      </c>
      <c r="C22">
        <f t="shared" si="0"/>
        <v>0.0611667894736842</v>
      </c>
      <c r="D22">
        <f t="shared" si="0"/>
        <v>0.0343902105263158</v>
      </c>
      <c r="E22">
        <f t="shared" si="0"/>
        <v>0.0476385263157895</v>
      </c>
      <c r="F22">
        <f t="shared" si="0"/>
        <v>0.0409423157894737</v>
      </c>
      <c r="G22">
        <f t="shared" si="0"/>
        <v>0.054495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B17" sqref="B17:G17"/>
    </sheetView>
  </sheetViews>
  <sheetFormatPr defaultColWidth="8.88888888888889" defaultRowHeight="14.4" outlineLevelCol="6"/>
  <cols>
    <col min="2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76</v>
      </c>
      <c r="B3">
        <v>0.095737</v>
      </c>
      <c r="C3">
        <v>0.123396</v>
      </c>
      <c r="D3">
        <v>0.063896</v>
      </c>
      <c r="E3">
        <v>0.082274</v>
      </c>
      <c r="F3">
        <v>0.117125</v>
      </c>
      <c r="G3">
        <v>0.130095</v>
      </c>
    </row>
    <row r="4" spans="1:7">
      <c r="A4" t="s">
        <v>77</v>
      </c>
      <c r="B4">
        <v>0.034417</v>
      </c>
      <c r="C4">
        <v>0.045804</v>
      </c>
      <c r="D4">
        <v>0.017415</v>
      </c>
      <c r="E4">
        <v>0.022979</v>
      </c>
      <c r="F4">
        <v>0.033682</v>
      </c>
      <c r="G4">
        <v>0.042553</v>
      </c>
    </row>
    <row r="5" spans="1:7">
      <c r="A5" t="s">
        <v>78</v>
      </c>
      <c r="B5">
        <v>0.062468</v>
      </c>
      <c r="C5">
        <v>0.089747</v>
      </c>
      <c r="D5">
        <v>0.021192</v>
      </c>
      <c r="E5">
        <v>0.027142</v>
      </c>
      <c r="F5">
        <v>0.027576</v>
      </c>
      <c r="G5">
        <v>0.033987</v>
      </c>
    </row>
    <row r="6" spans="1:7">
      <c r="A6" t="s">
        <v>79</v>
      </c>
      <c r="B6">
        <v>0.048639</v>
      </c>
      <c r="C6">
        <v>0.05689</v>
      </c>
      <c r="D6">
        <v>0.029307</v>
      </c>
      <c r="E6">
        <v>0.036756</v>
      </c>
      <c r="F6">
        <v>0.045881</v>
      </c>
      <c r="G6">
        <v>0.052942</v>
      </c>
    </row>
    <row r="7" spans="1:7">
      <c r="A7" t="s">
        <v>80</v>
      </c>
      <c r="B7">
        <v>0.039883</v>
      </c>
      <c r="C7">
        <v>0.053642</v>
      </c>
      <c r="D7">
        <v>0.03071</v>
      </c>
      <c r="E7">
        <v>0.038702</v>
      </c>
      <c r="F7">
        <v>0.040675</v>
      </c>
      <c r="G7">
        <v>0.049606</v>
      </c>
    </row>
    <row r="8" spans="1:7">
      <c r="A8" t="s">
        <v>81</v>
      </c>
      <c r="B8">
        <v>0.031794</v>
      </c>
      <c r="C8">
        <v>0.045599</v>
      </c>
      <c r="D8">
        <v>0.02455</v>
      </c>
      <c r="E8">
        <v>0.033029</v>
      </c>
      <c r="F8">
        <v>0.043142</v>
      </c>
      <c r="G8">
        <v>0.050625</v>
      </c>
    </row>
    <row r="9" spans="1:7">
      <c r="A9" t="s">
        <v>82</v>
      </c>
      <c r="B9">
        <v>0.053359</v>
      </c>
      <c r="C9">
        <v>0.067115</v>
      </c>
      <c r="D9">
        <v>0.026735</v>
      </c>
      <c r="E9">
        <v>0.034985</v>
      </c>
      <c r="F9">
        <v>0.052919</v>
      </c>
      <c r="G9">
        <v>0.063334</v>
      </c>
    </row>
    <row r="10" spans="1:7">
      <c r="A10" t="s">
        <v>83</v>
      </c>
      <c r="B10">
        <v>0.036949</v>
      </c>
      <c r="C10">
        <v>0.046526</v>
      </c>
      <c r="D10">
        <v>0.030516</v>
      </c>
      <c r="E10">
        <v>0.03768</v>
      </c>
      <c r="F10">
        <v>0.052999</v>
      </c>
      <c r="G10">
        <v>0.06417</v>
      </c>
    </row>
    <row r="11" spans="1:7">
      <c r="A11" t="s">
        <v>84</v>
      </c>
      <c r="B11">
        <v>0.033924</v>
      </c>
      <c r="C11">
        <v>0.0429</v>
      </c>
      <c r="D11">
        <v>0.023679</v>
      </c>
      <c r="E11">
        <v>0.031466</v>
      </c>
      <c r="F11">
        <v>0.029415</v>
      </c>
      <c r="G11">
        <v>0.037274</v>
      </c>
    </row>
    <row r="12" spans="1:7">
      <c r="A12" t="s">
        <v>85</v>
      </c>
      <c r="B12">
        <v>0.035046</v>
      </c>
      <c r="C12">
        <v>0.043553</v>
      </c>
      <c r="D12">
        <v>0.038349</v>
      </c>
      <c r="E12">
        <v>0.047985</v>
      </c>
      <c r="F12">
        <v>0.031261</v>
      </c>
      <c r="G12">
        <v>0.038345</v>
      </c>
    </row>
    <row r="13" spans="1:7">
      <c r="A13" t="s">
        <v>86</v>
      </c>
      <c r="B13">
        <v>0.048273</v>
      </c>
      <c r="C13">
        <v>0.06292</v>
      </c>
      <c r="D13">
        <v>0.031016</v>
      </c>
      <c r="E13">
        <v>0.039666</v>
      </c>
      <c r="F13">
        <v>0.047455</v>
      </c>
      <c r="G13">
        <v>0.059505</v>
      </c>
    </row>
    <row r="14" spans="1:7">
      <c r="A14" t="s">
        <v>87</v>
      </c>
      <c r="B14">
        <v>0.027266</v>
      </c>
      <c r="C14">
        <v>0.035069</v>
      </c>
      <c r="D14">
        <v>0.018026</v>
      </c>
      <c r="E14">
        <v>0.023116</v>
      </c>
      <c r="F14">
        <v>0.043297</v>
      </c>
      <c r="G14">
        <v>0.051595</v>
      </c>
    </row>
    <row r="15" spans="1:7">
      <c r="A15" t="s">
        <v>88</v>
      </c>
      <c r="B15">
        <v>0.056949</v>
      </c>
      <c r="C15">
        <v>0.073864</v>
      </c>
      <c r="D15">
        <v>0.036458</v>
      </c>
      <c r="E15">
        <v>0.050938</v>
      </c>
      <c r="F15">
        <v>0.135624</v>
      </c>
      <c r="G15">
        <v>0.154251</v>
      </c>
    </row>
    <row r="16" spans="1:7">
      <c r="A16" t="s">
        <v>89</v>
      </c>
      <c r="B16">
        <v>0.031566</v>
      </c>
      <c r="C16">
        <v>0.038259</v>
      </c>
      <c r="D16">
        <v>0.030046</v>
      </c>
      <c r="E16">
        <v>0.039062</v>
      </c>
      <c r="F16">
        <v>0.035355</v>
      </c>
      <c r="G16">
        <v>0.042579</v>
      </c>
    </row>
    <row r="17" spans="1:7">
      <c r="A17" s="2" t="s">
        <v>24</v>
      </c>
      <c r="B17">
        <f t="shared" ref="B17:G17" si="0">AVERAGE(B3:B16)</f>
        <v>0.0454478571428571</v>
      </c>
      <c r="C17">
        <f t="shared" si="0"/>
        <v>0.0589488571428572</v>
      </c>
      <c r="D17">
        <f t="shared" si="0"/>
        <v>0.0301353571428571</v>
      </c>
      <c r="E17">
        <f t="shared" si="0"/>
        <v>0.0389842857142857</v>
      </c>
      <c r="F17">
        <f t="shared" si="0"/>
        <v>0.0526004285714286</v>
      </c>
      <c r="G17">
        <f t="shared" si="0"/>
        <v>0.0622043571428572</v>
      </c>
    </row>
    <row r="21" spans="1:1">
      <c r="A21" s="2"/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欧洲</vt:lpstr>
      <vt:lpstr>广东</vt:lpstr>
      <vt:lpstr>印度</vt:lpstr>
      <vt:lpstr>德州</vt:lpstr>
      <vt:lpstr>PJM</vt:lpstr>
      <vt:lpstr>湖南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Lu</dc:creator>
  <cp:lastModifiedBy>冲淡</cp:lastModifiedBy>
  <dcterms:created xsi:type="dcterms:W3CDTF">2023-05-12T11:15:00Z</dcterms:created>
  <dcterms:modified xsi:type="dcterms:W3CDTF">2025-09-05T13:05:52Z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D01A383DF3544A18BF4E428E43030353_12</vt:lpwstr>
  </property>
</Properties>
</file>